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publishItems="1"/>
  <mc:AlternateContent xmlns:mc="http://schemas.openxmlformats.org/markup-compatibility/2006">
    <mc:Choice Requires="x15">
      <x15ac:absPath xmlns:x15ac="http://schemas.microsoft.com/office/spreadsheetml/2010/11/ac" url="C:\Users\PC\Desktop\Maven\5. Advanced Excel Dashboard Design\za vezbanje\"/>
    </mc:Choice>
  </mc:AlternateContent>
  <xr:revisionPtr revIDLastSave="0" documentId="13_ncr:1_{7E345D79-F2F1-467E-A8EC-A3047857E664}" xr6:coauthVersionLast="47" xr6:coauthVersionMax="47" xr10:uidLastSave="{00000000-0000-0000-0000-000000000000}"/>
  <bookViews>
    <workbookView xWindow="-108" yWindow="-108" windowWidth="23256" windowHeight="12576" activeTab="2" xr2:uid="{DB438AB8-0F60-4224-9C67-97043B861F24}"/>
  </bookViews>
  <sheets>
    <sheet name="Data" sheetId="1" r:id="rId1"/>
    <sheet name="Prep" sheetId="2" r:id="rId2"/>
    <sheet name="Dashboard" sheetId="3" r:id="rId3"/>
  </sheets>
  <definedNames>
    <definedName name="_xlnm._FilterDatabase" localSheetId="0" hidden="1">Data!$A$1:$F$1919</definedName>
    <definedName name="_xlnm._FilterDatabase" localSheetId="1" hidden="1">Prep!$A$2:$A$1918</definedName>
    <definedName name="_xlchart.v5.0" hidden="1">Prep!$I$1:$J$1</definedName>
    <definedName name="_xlchart.v5.1" hidden="1">Prep!$I$2:$J$49</definedName>
    <definedName name="_xlchart.v5.2" hidden="1">Prep!$K$1</definedName>
    <definedName name="_xlchart.v5.3" hidden="1">Prep!$K$2:$K$49</definedName>
    <definedName name="_xlcn.WorksheetConnection_PrepI2K491" hidden="1">Prep!$I$2:$K$49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Dashboard" guid="{948164EF-B902-4A6C-8E3C-A935061C5153}" maximized="1" xWindow="-8" yWindow="-8" windowWidth="1936" windowHeight="1056" activeSheetId="8" showFormulaBar="0"/>
    <customWorkbookView name="ShowAllWorksheets" guid="{A1F01C08-243B-48FC-94A8-F102AEB1706D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rep!$I$2:$K$4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K3" i="2" s="1"/>
  <c r="G6" i="2"/>
  <c r="G5" i="2"/>
  <c r="G9" i="2"/>
  <c r="G2" i="2"/>
  <c r="G3" i="2"/>
  <c r="G4" i="2"/>
  <c r="G8" i="2"/>
  <c r="G11" i="2"/>
  <c r="G10" i="2"/>
  <c r="G7" i="2"/>
  <c r="F6" i="2"/>
  <c r="F5" i="2"/>
  <c r="F9" i="2"/>
  <c r="F2" i="2"/>
  <c r="F3" i="2"/>
  <c r="F4" i="2"/>
  <c r="F8" i="2"/>
  <c r="F11" i="2"/>
  <c r="F10" i="2"/>
  <c r="F7" i="2"/>
  <c r="D5" i="2" l="1"/>
  <c r="D2" i="2"/>
  <c r="D8" i="2"/>
  <c r="D4" i="2"/>
  <c r="D10" i="2"/>
  <c r="D6" i="2"/>
  <c r="D9" i="2"/>
  <c r="D11" i="2"/>
  <c r="D7" i="2"/>
  <c r="D3" i="2"/>
  <c r="K46" i="2"/>
  <c r="B4" i="2"/>
  <c r="J46" i="2"/>
  <c r="J18" i="2"/>
  <c r="J40" i="2"/>
  <c r="K34" i="2"/>
  <c r="J26" i="2"/>
  <c r="K14" i="2"/>
  <c r="C2" i="2"/>
  <c r="J38" i="2"/>
  <c r="J14" i="2"/>
  <c r="K30" i="2"/>
  <c r="J48" i="2"/>
  <c r="J30" i="2"/>
  <c r="K2" i="2"/>
  <c r="K18" i="2"/>
  <c r="F13" i="2"/>
  <c r="F14" i="2" s="1"/>
  <c r="C4" i="2"/>
  <c r="J44" i="2"/>
  <c r="J36" i="2"/>
  <c r="J24" i="2"/>
  <c r="J10" i="2"/>
  <c r="K42" i="2"/>
  <c r="K26" i="2"/>
  <c r="K10" i="2"/>
  <c r="B2" i="2"/>
  <c r="J2" i="2"/>
  <c r="J42" i="2"/>
  <c r="J34" i="2"/>
  <c r="J22" i="2"/>
  <c r="J6" i="2"/>
  <c r="K38" i="2"/>
  <c r="K22" i="2"/>
  <c r="K6" i="2"/>
  <c r="B5" i="2"/>
  <c r="C5" i="2"/>
  <c r="J49" i="2"/>
  <c r="J45" i="2"/>
  <c r="J41" i="2"/>
  <c r="J37" i="2"/>
  <c r="J33" i="2"/>
  <c r="J29" i="2"/>
  <c r="J25" i="2"/>
  <c r="J21" i="2"/>
  <c r="J17" i="2"/>
  <c r="J13" i="2"/>
  <c r="J9" i="2"/>
  <c r="J5" i="2"/>
  <c r="K49" i="2"/>
  <c r="K45" i="2"/>
  <c r="K41" i="2"/>
  <c r="K37" i="2"/>
  <c r="K33" i="2"/>
  <c r="K29" i="2"/>
  <c r="K25" i="2"/>
  <c r="K21" i="2"/>
  <c r="K17" i="2"/>
  <c r="K13" i="2"/>
  <c r="K9" i="2"/>
  <c r="K5" i="2"/>
  <c r="J32" i="2"/>
  <c r="J28" i="2"/>
  <c r="J20" i="2"/>
  <c r="J16" i="2"/>
  <c r="J12" i="2"/>
  <c r="J8" i="2"/>
  <c r="J4" i="2"/>
  <c r="K48" i="2"/>
  <c r="K44" i="2"/>
  <c r="K40" i="2"/>
  <c r="K36" i="2"/>
  <c r="K32" i="2"/>
  <c r="K28" i="2"/>
  <c r="K24" i="2"/>
  <c r="K20" i="2"/>
  <c r="K16" i="2"/>
  <c r="K12" i="2"/>
  <c r="K8" i="2"/>
  <c r="K4" i="2"/>
  <c r="E13" i="2"/>
  <c r="B3" i="2"/>
  <c r="C3" i="2"/>
  <c r="J47" i="2"/>
  <c r="J43" i="2"/>
  <c r="J39" i="2"/>
  <c r="J35" i="2"/>
  <c r="J31" i="2"/>
  <c r="J27" i="2"/>
  <c r="J23" i="2"/>
  <c r="J19" i="2"/>
  <c r="J15" i="2"/>
  <c r="J11" i="2"/>
  <c r="J7" i="2"/>
  <c r="J3" i="2"/>
  <c r="K47" i="2"/>
  <c r="K43" i="2"/>
  <c r="K39" i="2"/>
  <c r="K35" i="2"/>
  <c r="K31" i="2"/>
  <c r="K27" i="2"/>
  <c r="K23" i="2"/>
  <c r="K19" i="2"/>
  <c r="K15" i="2"/>
  <c r="K11" i="2"/>
  <c r="K7" i="2"/>
  <c r="G13" i="2" l="1"/>
  <c r="G1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A6DF5B-FB96-42D2-B142-C032A239CA1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E8F5031-A60B-48C0-9DB3-682FA50749F8}" name="WorksheetConnection_Prep!$I$2:$K$49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PrepI2K491"/>
        </x15:connection>
      </ext>
    </extLst>
  </connection>
</connections>
</file>

<file path=xl/sharedStrings.xml><?xml version="1.0" encoding="utf-8"?>
<sst xmlns="http://schemas.openxmlformats.org/spreadsheetml/2006/main" count="3915" uniqueCount="70">
  <si>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</si>
  <si>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</si>
  <si>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</si>
  <si>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</si>
  <si>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</si>
  <si>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</si>
  <si>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</si>
  <si>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</si>
  <si>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</si>
  <si>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</si>
  <si>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</si>
  <si>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</si>
  <si>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</si>
  <si>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</si>
  <si>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</si>
  <si>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</si>
  <si>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</si>
  <si>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</si>
  <si>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</si>
  <si>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</si>
  <si>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</si>
  <si>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</si>
  <si>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</si>
  <si>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</si>
  <si>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</si>
  <si>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</si>
  <si>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</si>
  <si>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</si>
  <si>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</si>
  <si>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</si>
  <si>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</si>
  <si>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</si>
  <si>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</si>
  <si>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</si>
  <si>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</si>
  <si>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</si>
  <si>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</si>
  <si>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</si>
  <si>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</si>
  <si>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</si>
  <si>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</si>
  <si>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</si>
  <si>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</si>
  <si>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</si>
  <si>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</si>
  <si>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</si>
  <si>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</si>
  <si>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</si>
  <si>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</si>
  <si>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</si>
  <si>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</si>
  <si>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</si>
  <si>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</si>
  <si>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</si>
  <si>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</si>
  <si>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</si>
  <si>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</si>
  <si>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</si>
  <si>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</si>
  <si>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</si>
  <si>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</si>
  <si>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</si>
  <si>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</si>
  <si>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</si>
  <si>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(2020)</t>
  </si>
  <si>
    <t>State (2020)</t>
  </si>
  <si>
    <t>Year:</t>
  </si>
  <si>
    <t>Other</t>
  </si>
  <si>
    <t>Industry: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</si>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</sst>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3" fontId="0" fillId="0" borderId="0" xfId="0" applyNumberFormat="1" applyBorder="1"/>
    <xf numFmtId="164" fontId="0" fillId="0" borderId="7" xfId="0" applyNumberFormat="1" applyBorder="1"/>
    <xf numFmtId="0" fontId="0" fillId="0" borderId="8" xfId="0" applyBorder="1"/>
    <xf numFmtId="3" fontId="0" fillId="0" borderId="9" xfId="0" applyNumberFormat="1" applyBorder="1"/>
    <xf numFmtId="164" fontId="0" fillId="0" borderId="10" xfId="0" applyNumberFormat="1" applyBorder="1"/>
    <xf numFmtId="0" fontId="1" fillId="3" borderId="3" xfId="0" applyFont="1" applyFill="1" applyBorder="1"/>
    <xf numFmtId="0" fontId="0" fillId="0" borderId="3" xfId="0" applyBorder="1"/>
    <xf numFmtId="0" fontId="0" fillId="0" borderId="5" xfId="0" applyBorder="1"/>
    <xf numFmtId="9" fontId="0" fillId="0" borderId="7" xfId="1" applyFont="1" applyBorder="1"/>
    <xf numFmtId="9" fontId="0" fillId="0" borderId="10" xfId="1" applyFont="1" applyBorder="1"/>
    <xf numFmtId="0" fontId="0" fillId="0" borderId="4" xfId="0" applyBorder="1"/>
    <xf numFmtId="0" fontId="1" fillId="2" borderId="0" xfId="0" applyFont="1" applyFill="1" applyBorder="1"/>
    <xf numFmtId="0" fontId="3" fillId="0" borderId="0" xfId="0" applyFont="1"/>
    <xf numFmtId="0" fontId="3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69999"/>
      <color rgb="FFB2DBD5"/>
      <color rgb="FFEE0000"/>
      <color rgb="FFFF7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Annual Wages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Prep!$E$2:$E$11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Prep!$G$2:$G$11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D-4DDC-B982-BA5E8313D343}"/>
            </c:ext>
          </c:extLst>
        </c:ser>
        <c:ser>
          <c:idx val="1"/>
          <c:order val="1"/>
          <c:tx>
            <c:strRef>
              <c:f>Prep!$D$1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Prep!$E$2:$E$11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Prep!$D$2:$D$11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49366.8125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D-4DDC-B982-BA5E8313D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71264127"/>
        <c:axId val="808462351"/>
      </c:barChart>
      <c:catAx>
        <c:axId val="9712641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62351"/>
        <c:crosses val="autoZero"/>
        <c:auto val="1"/>
        <c:lblAlgn val="ctr"/>
        <c:lblOffset val="100"/>
        <c:noMultiLvlLbl val="0"/>
      </c:catAx>
      <c:valAx>
        <c:axId val="808462351"/>
        <c:scaling>
          <c:orientation val="minMax"/>
        </c:scaling>
        <c:delete val="0"/>
        <c:axPos val="t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Employes </a:t>
            </a:r>
          </a:p>
          <a:p>
            <a:pPr>
              <a:defRPr sz="1200"/>
            </a:pPr>
            <a:r>
              <a:rPr lang="en-US" sz="1200"/>
              <a:t>by Industry</a:t>
            </a:r>
          </a:p>
        </c:rich>
      </c:tx>
      <c:layout>
        <c:manualLayout>
          <c:xMode val="edge"/>
          <c:yMode val="edge"/>
          <c:x val="5.5325034578146609E-2"/>
          <c:y val="0.359765051395007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480685246294424"/>
          <c:y val="0.17709713598575505"/>
          <c:w val="0.50269187505407975"/>
          <c:h val="0.75736689784637845"/>
        </c:manualLayout>
      </c:layout>
      <c:doughnutChart>
        <c:varyColors val="1"/>
        <c:ser>
          <c:idx val="0"/>
          <c:order val="0"/>
          <c:spPr>
            <a:solidFill>
              <a:schemeClr val="accent3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A3-42F7-B3D1-0EF82E818C1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A3-42F7-B3D1-0EF82E818C15}"/>
              </c:ext>
            </c:extLst>
          </c:dPt>
          <c:cat>
            <c:strRef>
              <c:f>Prep!$E$13:$E$14</c:f>
              <c:strCache>
                <c:ptCount val="2"/>
                <c:pt idx="0">
                  <c:v>Trade &amp; Transportation</c:v>
                </c:pt>
                <c:pt idx="1">
                  <c:v>Other</c:v>
                </c:pt>
              </c:strCache>
            </c:strRef>
          </c:cat>
          <c:val>
            <c:numRef>
              <c:f>Prep!$F$13:$F$14</c:f>
              <c:numCache>
                <c:formatCode>#,##0</c:formatCode>
                <c:ptCount val="2"/>
                <c:pt idx="0">
                  <c:v>26277342</c:v>
                </c:pt>
                <c:pt idx="1">
                  <c:v>90371997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A3-42F7-B3D1-0EF82E818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Prep!$C$1</c:f>
              <c:strCache>
                <c:ptCount val="1"/>
                <c:pt idx="0">
                  <c:v>Avg Annual Wage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Prep!$A$2:$A$5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Prep!$C$2:$C$5</c:f>
              <c:numCache>
                <c:formatCode>"$"#,##0</c:formatCode>
                <c:ptCount val="4"/>
                <c:pt idx="0">
                  <c:v>43391.395833333336</c:v>
                </c:pt>
                <c:pt idx="1">
                  <c:v>44830.666666666664</c:v>
                </c:pt>
                <c:pt idx="2">
                  <c:v>46352.958333333336</c:v>
                </c:pt>
                <c:pt idx="3">
                  <c:v>49366.8125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0-466A-816C-55D1A6AA8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394575"/>
        <c:axId val="1012395823"/>
      </c:lineChart>
      <c:catAx>
        <c:axId val="101239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95823"/>
        <c:crosses val="autoZero"/>
        <c:auto val="1"/>
        <c:lblAlgn val="ctr"/>
        <c:lblOffset val="100"/>
        <c:noMultiLvlLbl val="0"/>
      </c:catAx>
      <c:valAx>
        <c:axId val="1012395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Avg Annual Wages by Year</a:t>
                </a:r>
                <a:endParaRPr lang="en-US" sz="7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605244996549344E-2"/>
              <c:y val="0.178153507838547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9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Prep!$B$1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Prep!$A$2:$A$5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Prep!$B$2:$B$5</c:f>
              <c:numCache>
                <c:formatCode>#,##0</c:formatCode>
                <c:ptCount val="4"/>
                <c:pt idx="0">
                  <c:v>27033069</c:v>
                </c:pt>
                <c:pt idx="1">
                  <c:v>27186117</c:v>
                </c:pt>
                <c:pt idx="2">
                  <c:v>27304411</c:v>
                </c:pt>
                <c:pt idx="3">
                  <c:v>26277342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A-45DC-B22B-26A88DC01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226975"/>
        <c:axId val="1010219487"/>
      </c:barChart>
      <c:catAx>
        <c:axId val="101022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19487"/>
        <c:crosses val="autoZero"/>
        <c:auto val="1"/>
        <c:lblAlgn val="ctr"/>
        <c:lblOffset val="100"/>
        <c:noMultiLvlLbl val="0"/>
      </c:catAx>
      <c:valAx>
        <c:axId val="1010219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Employees by Year</a:t>
                </a:r>
                <a:endParaRPr lang="en-US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4.8814504881450491E-2"/>
              <c:y val="0.15640525403074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2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DAA9DC78-CF92-4841-8DFC-6F2597B329C3}">
          <cx:dataId val="0"/>
          <cx:layoutPr>
            <cx:geography cultureLanguage="en-US" cultureRegion="US" attribution="Powered by Bing">
              <cx:geoCache provider="{E9337A44-BEBE-4D9F-B70C-5C5E7DAFC167}">
                <cx:binary>1H1pc6O43u9X6erXl4wEAolTzzxVI8ALdvZ00pM3lDtJsyP27dPfP9iJHcZ9OqdObt1yZkajBdkS
P/13Sf6fp/ZfT9HLJv/SxlFS/Oup/fOrV5bpv/74o3jyXuJNcRb7T7koxM/y7EnEf4ifP/2nlz+e
803jJ+4fMsLkjydvk5cv7df//R/4NPdFrMXTpvRFcl295N3NS1FFZfFv2o42fdk8x35i+kWZ+08l
/vPrMor8RPjF1y8vSemX3V2Xvvz59d1TX7/8Mf2sf3zvlwiGVlbP0JegMywTTFQV6eMf+/olEom7
a5aYfoYJ0xSVqdt2/fW7LzYx9P/IiMbxbJ6f85eigCmN/z/s+W780LD++uVJVEk5vDcXXuGfX78l
fvny/OW23JQvMHm/EMb2AUMMk/h2O876j/dv/n//Z1IB72FScwDO9KX9rukf2PyV+71INq+v57+H
RiFnsq7IMsNk++rpe2gwxmeaRlRdUzU0/OHX795C84EBHUfmreMEmL8eTxKYb+XGe30zn4CKfqbI
CmUI7QjiGCqUybKsaa/fusXjd+M4Dsa21wSJb3cnicS5XxSiyv3X9/IJaLAzRaMqQwSPJIDk9zSi
y2eEUmXgX1sammDykREdx2Xfc4LN+eVJYvNXtPmxiT+TfclnFNiTrCF9C43yHhqmnTGCFEVG8lHJ
8oEBHUfmreMEmL9OU64Ym8j/KfLE/0xs6JmsEk3T8Q4bEB2HUh9j/UzDVKaY4C04ryS7ZWUfG9Nx
eA77ThAy/jpJ0hlYwfBvmn4mZwPykRGjb3oXKF6HEIFiBnJfRkSWt+R1hLN9YFDHMXo3owlI56Bs
naR6Fm6SYgPa42epzqCfgVBhSME7TWCiOg+yR9GxqoJ4Gv/U1+9+1c9+P6Lj8PyVv/acYPPXzUli
s0ye/c2nqs76GbA2neo7o0afEo92Bmo1Q5qubqEh76H5wICOI/PWcQLM8uIkgTFfok2zyV9e384n
KGz6GQKupsnK3p48ZGtUPSMa04iCdwrbhGg+MqLj0Ox7TrAxrZPE5v4lj0VSfh40hJwhqsrwz0RT
ozLYmbKma0zZKgMTTD4wkuOQvHWcIHJ/oubNpig2T15VvJTlJ8oZIp+BKqZQQpUts5ooaxTcAEgF
TZqBKboVblsBc/7R8RxHZ9J9gtH5aepqhohEvnkWr2/qEzgaOwMtAPxnZKeITeDBSD1TCWVghL5+
6U6J/sBQjiOzn8QEFOM0bc8ZYOI/b15fz3+PiczOVF1VsaxMBT/oZIwqRGY7Wppg8oGRHIfkreME
kdlpGp2X+Ysrks8DhChnusJAsCvam7F/KPaxjM5AT8ZYAeo55GG/H8hxPF77TeC4PE0F+RwE/acq
yISegcBQsU7JVqZMRD5GYF4SICBNmajGHxjKcUTeOk4gOT9RYe8nyUshyk/kWkQ7U4iOwWjcGYwT
SaKTM6wD44KYwHsiOf/IWH6Byr7rFJfTNFkMAbg8lf5T9ZmqMT5TqYpVIJnjKhg4axQGJqU8UY0/
OJrj2LzrPEHHOE2qmb+I3P1UTybYJgTePKM7L/IkHMOUM0IIKM9oR1MTgf+BAR0H563jBJj5X6dp
TfqAy2f7mEF+6Ijpx0UMZWeaTikjr3rzhHTuPzCi49Dse06wuT9NbM43fvLyyvH/e+WYqCBmhsDx
qwtmQjKafiZjDRNEd3HnqQbwu+EcR2U3iwkk59ZJksvyeeN9og0JrheF6YjCToytejxxJWNMwNuv
KxSMzNeFsDUifzuQ42Dsuk3AWJonCcZaVH7xyQ5kdKYzCCmzqS9Mx+D0xxDeZzvX8oQ4PjSW45gc
dJ3gsj5NvrUUzeZ1tX4C25LBPUk0lZLj8kRXzgblTMNo1z4JiP1uNMdB2faa4LE8TTweOgHbydxP
hQTYFbiGfxEBw4iCVY8JAWC2fO31u7fM6wMDOo7KW8cJMA9/nyQDW312ZJKBl4uARkzpUXNFh10z
DEH860ADOHS6/H48x2F57TdBZXV7kqg8vBTll70u+WlhY9B7iaxSMBa3NDFRvxiCrRcKVXS029I0
sVg+PKzjGE26T6B6uD9JqO5e2k+N7GMIQiqMgD/yOP3AHkDYuATktYMQ1LVD+vntcI5Ds+s2geTu
+0lCcvHSfPlb5OHrm/kUBUBXdJkMW8bGv4nPEkLHsB8GqWC6bAlrogB8ZETHgdn3nGBzcaLyBhZr
9RR2n4eNAoJepooMsfvJNiUVdlqAGCJk5/if6MurDwzlOCj7nhNQVqcJyvkm76JN8vyJoEBkckBF
1d9jQrUzikD6KPqOUCYS5iMjOY7JvucEk/PTtCzP/SfPdzefGQiDTWMQyddB/G+Z1D/pBcL8sHNp
2L80/E2Y2EdG9Ats3uYyxWZ5mgJG5KX3xdjkAs7EfKKdqUC4XgFXiwowjH8T/YzCiRimEkxBfx7/
Jh6Ziw+P6zhO0/4TtC6M00Tr5Ue+KcJPxIlATAY2KCuUbk+//GPrv34GHpxBQzu+/fLiAyP6BUJv
PafYnKYzc1BvFps4LTz/M7f6QcxfY6CN6a9Bs6m+NgTVYCcgbNI8TkgfHdavUHo3qylUixMlo3rz
mRtlFLBkVI1A1Pn43jKMNXA8Az8EN84IEn5VT7YenIuX343nV+Bs+01ROU3zcyAg+yUvXj5Rox4O
ZoIPQFeVnQ0KYuZwxwyFiAAcDoCzp1sppU8U64+N6Vfo7OczRcg+Sbq5FdX/G2UB9jUh0KPlV0/B
hMeBM2eIf4Ij4bg69/FxHUdq2n+C1u2JKgujCmVuws/dXkNhK4CmABi7bcwTswjoDNw+w4nbV5Ka
8LoPjuo4Ulu17nVOE5wuTtM8GnjM+UvrP31iKBRO1QA1KXDybKfWTSgKI+0MI9iJDjhO8PnQaH6B
zkHfKTbnJ8nxLj3/E1EBaUTgJBNsT9tFFCaoMNgAhUDRY7+gnd+N5jgq214TPC5PU3O7DCPYMvCp
B2zBUGUKsLTdnrTh/P+hhqCDTw4IBSEK3oTx7z29fGREv8DlbS5TbFYnSStXL0lSdFG9+dQNUEAz
TIcztjvzc7yf4RAfSs+YwtgQpNvCA66gwyjCR0d1HKP3vSc4Xf11Ejj9+2Om23e1jSu8e/I/vAIF
bCA4PaNSiBxMCAjOqmGgMDjBsQUIPEGHAE1uJfn1eI4jNOn+bgqnceXJjQfXr3xZFp/rtgbHjiYz
WX+9skGfuEjhvJOKGRzehKtPxj+QRYewfHRUx1F533tCNzen6SrdWgmvuufhOn03v/+QbmDTGlEg
2AZOnDfyOORvgz4tKwh8C9rENv3oeI4j9L73uxn8+fX2NDXpO5BAcDvSyydu8wQ/NiPg/URAKq9+
6kN44P4NhShwDcQv3G8fGtJxhA66TuC5O81DBQ8b8I0mbvmpR6LAHIXzTrAR5BfkMx6Jgs3tr3fb
TMydj43pOECHfScIPZyGavBu1HAz2oNfPImk8D83VKeBp0BV4Aab7d979QBu4ICIN3hG9eNnCT80
pF/gs5/Nu4nCPP8/SaBfX5z2drucuSk31ngt3cHdaf++dZw9XJY36boT50e3jGyl1/L5z69wlFAG
jezturvhQ94pAm+7BP/R52VTlH9+lWCr6BkCByuDDYrwWXAu9OuXBnZ9DU1wuRpSKRy3gtNYcH5E
/folGfw/cGOeClohbKDX4R/Y1qAPh7GKwb04XqYHC4WC4BvNLtjh9XYd4JWIOjhR+fY6duUvSRVf
CT8piz+/gpqTbp8aZgemGxzqHg6DwSkKOMICxjW0P21ugA/Bw/j/4F4uwlzPmgsl++6VBlUrnkmz
pOUquUIxP3gzR75MAV33337b0H7wbZmroLRt4Nuc8+5nW3PtXrSmiLhzrSY8T7j6IMKVe67MxZ2f
cvI9tfwXd+4vySyueC4MZnjr5h6vW5MuEW+F0Xi8l6xSWAKMxjcQjwwVA/1NBwv6H+AmK+CQUIfd
pe8H2+ECR2pE8DktkMvTrC/sZEj0RmkjTiRa2LXrUSMtZcaV5I4WfbuU4q6OeJWpuV3iJrfHXODq
JXfbnJierGIzI0nP5coPV2NS4z6YOQQ9ZmnS2pLbtLaC+8aIg1QYY13iNBrHWpeaWaDrZggb1Q0n
y+pZz+KUl1KW2GPCCs8JedLXgQW3MbpciVhi+0h4EffVUNhjuS5KYY/FFNVXCcuaWejKwtZUvzcE
Tn1DyaXM3ieVK3K7o4E2c3txEVZRZo9JnDt4nqruYl+VYz+NeE9xyOEl6SZu89RGEUrtiqYRvJcq
Da2ypS73h69UaSMvkiw1aO8Im0h1GHFtTMcKlCSp3ZPaN7wId0bDcmeu1PVMkDSzSU1SWwq8XU4f
cmOxyNeixPJSLbrMjhWviHjh0cwek2zI4VZKzQb5LdcllNsO0nObJqSKDsqCRLoVtc5DFmWLMkPy
vMZhacd5Wdq9is6RXzqzsarsJRRxJiua5TD/b4aywnbL8Cerg8zShtJYNSb7Is6C72oTRFzKSsHH
6arDSwhKt+2NceYjKix317SI/fk433GWY86plQQW4fASEAvTWdwHt/sZyqGU7aZNyyaPOFKq59ST
CsvJitxmbQqLdD/5MYdJFC2AHKxOqgpbQkphjzk/E/W8Jv2StZk706l6P7ZFvuMui1ThtVwQQK2Q
jNavMttLIvhqXS7dGavE/baoMCWxu7k8rAQ4oZ3aY25cHbKK5EVDCmOsH6sAcWaUOqx5Vw/hFWVy
K+zMiarewF4pcVbU1GhdidqlnqmcqGVoSl7mx1yp2sZuGgpZN+kyy+8Tl7e639o+zlu7IdQIRdIv
4LK/dLuI62HM4wKu++o6Vp1ydrBe04DCqh0HVQjBZoWTn4+jEeOQ3hLVT4WtpxoMc6hzCgUoTvTq
ou5g0TgMWEUsYOWMxTFph4Z9cfJIRNKQ50UnmUQAXqiDFerGYRlxNcnpXNPFHC5dy+2xtR9yk2Li
dDLX9cI3SVCrZhEpCVcUR8bW2EXDPbXSqPq+//gxV4Lus6iievtU7hVAdW0XGDmB99UUQPndkIy5
sa5LW2DfSe4TI6w9h4+VPa5crmZ6ZG2bD54s0YtUS/EyGHhW2PWJPeZaEqT59zHbuQnurTE7JhlT
Nx6IDKtwJRbyfcPYO9tX7j9tfEZiMeZRwgJzfPMQBdq9b400GMhOvqm8rFlmIGd7A2gktV11YFE4
zvRF0xPejFOjLqyPcb5jIit1ONddtNq2Eq0Hfud1A9fbtnsys/xceRBdm1haoKydjlrq8CHbZ8en
xrLA8u6Tx+LYMNZtP+6gTyJV8bxrohXOZTpXkDRrg4HIjn3Mvk5uFNYbcl4+00KkpqKXhjcsU9ao
jYUjuhlLwVCFhvUaeb1mjnUNhjU85vbJtC5uQahoquLPJXgbsSS58AaGfknv/eyGyR/tO3bbt4ix
37485qZfNYxwX+dWxIOtbXOlk2sjR/JPAdzMqgeBq3jYom0aLaQEfSeOr1rBIPXGpBmkXtY3nEaS
3KbzWkawRN2Sh72QOqP385qjsivMhuQVMApImIpulCDOZ8ogh/YJovVhcWxI/OxluLvP6obvQakI
jKQIWiMYxFzSlDGyykauuOJWuVkNi39M5EFA74sHdYPUy8OsBX4VDcueOshKCLzkpCmwWXWZbBRq
vwiaLJ7JOlmyqBKzMC8f4XXUS1BK14HmRXNfoy1PQNKiuAaeXt+SSxKG4fY7a6B2m44UlBERmm0Y
U85aXVg+bAngeR5anZrRReL7pSWXmcudQV7WcdGAyjZkPQyMaUxAq1W5p7m9yToxa5vOWaT10/hu
VEVKxEIkab8s5ItoeCPjW9IGeRfS4jLQ+2DuFoVqxY36swqUbFX5Ee9atskKz5011F3oYdEt9MSs
sHBt4n7zAiDeYtCw2kE90WkVI6NOnRtf1NlsrBuWA2wmjhZ5G8CAC6nXl428bjCIkCKjhQnK0jXs
LLovQdftOje0/WYlchzadRFrc9X1lpnqyjaWFLxNelJd6qoWLuqyW5BQsIuUJdyT+7ssdupZ0MV2
3aQ3PgYFR2Cam6rU8NxJ6HVA8tSQyxabSFVje0wGZmvrcbsrbhv8rjbCKAkNL3Bie0y2K2DM+loI
SnDY1IbvlSBkqXRBPSobqOhzM/fIunEa3aByWPOyL5Y1a9zLslUxV5sQ9GUZ9FatopdaH7XzFKk1
CNQY/yxaFFvyoKqNCR6ltO7violS43mvsXkiyHPa4qskUmo7ZFJtj7ksiFuOPS83PQFEGMMMIqAq
QOagrCNgdsG2OtS9YtvGgHXUah7N91Vjx+1nxFUNKlmhlTovXKEaxSCEsiGJIqb0xpitSFBxx69L
k5IKNCLU6DF0Gp5KQ9A2xofGXDtIrjG3bxif23bpW/85CuTCGutolulzlpOZlibACYYE9QmB1zdk
YbFjjvskNkFnK+2xjkoEmtN8XXdYXY5VY6PnNpU95oQUukadwfCiKnc53P5s5Y3DlkmlXrWORmaw
UkCky94yyp1m3mhuiIxtXQk36TA3t+QUNPOxSo2xZMKmkYCXQ699w77YXKag4RKOI6tued1YTDJh
AeCO0zlm9UU0d4NZqaywbqnMah6SF4bj88Z0BEjHeWFqd9EFmB03kuXossfNOr7pYu618zKwICM7
q0wD9dzs8puiWef+xWAlBWbg2l19X8mbuhbcC+cRs0LZ8sJ7ElziYB4XRiytRHBJg3kpA83MKV6x
uuCSA/S9ToKLrF1X7boPuKObsbMqpSXTDU29dhFvdNP1l2G8DDth5O3MgXnNNDtZM4P0ILGN8ql3
zcyKf2aekZfzyjOo9JgLrsL8b0u6VIPAQN1ll/M4fJBzrgTcNb1vmsuzH1jiJDBq+a7yLC/mBBsV
bwOuyEYpzbSQE2VO0UyLl1Vquf4sLHlGLlnMg295cFWgH9E5mqV8rdrphvHgouUpkKjhG72t2KoR
PHbrwgx+djNlUwheW8KUrlTgRAlvH/V5a7Cl/IyvE6tZht+Rmd5nJjPbhd5z71JZ1IuSJ9y/opYm
ce0KjM6coyUz43O8SH/4YFiWF9jlZWqFhEf+zJGWRcO1tVKbaTXDoGGXppC4Y/4ouHKZLNVZf6f1
BrHCa+nCfemevfv0p1hn6xYsfyO34u+JyjUws7+VialeyHfFd2K+lIt+tawenSWMyp/3c9+AAYMe
YosrW2kXdJ52vCMWci0hQGSZvcqVeRJbWva9DBa+d9O4lpyZeT7TsoUzgyPQPIrncZtznRrabR+Z
pDTQMxHXnmd0f7tiJiFLU8y+M9uY67nRVIsWzNrAaCkPwDnQ2qXLg8LosZXikqP8MV+t6bUO00qW
mpHcaq3Naku3/CVuTMl5UPqFcOd9ZwGH7GFxfKtmvbP2Fvq1bCbn7qx9LHWjeJbXbsDjwgz1heub
aWt2t1FoavqsbBelbjXOMii40G6I4MlGSVeon/1dxmYgXyfhIhUXzQw9pZKV9pblgSQd/vMT3v2g
zzSBlWgIdRVSTtHKAVW4MZRLrPPwPuuMlXpXS1xa4Vlqigf12QM5WARGAStp7dy4yKR/14nROUb0
qJempAyNZEXIon7s7vR0LZMFWoPudR094hdUGuCZQD/0xIjseoNgVWZrLAzQfuZJaKaG7i4j0FE0
w2uNjnEfg6XM5YdkXtamm3J6r/2or+Mr9j1btucx4mnD02QN5C/VS+aYzW2t8djh1bNr5C86kA+2
Es1whNliuMpsRsgcRggfHzVg9Bv4XLGV66Qz2tbS40UTcP8FnTcb6Sm6IpYwwEi7k7+7z+Fd5vNM
gLPA0HhpOBfhQ/YgVugavAPuzLOqlZpy7UIsIp/336MlubjvbtRbaaFcBS9JxqlrKBlXTfQTfvZC
s9uZsLKSA6PJv5Xz+lpekBVahj7P72XPrDdgHYfLwmw5saTvSBh05pglr8zqzm848EJsgFUQdLyO
zAybpWeEwLLBgLiuH+NlnnNZhyly4nO0dk3gqQ8E2yF3b4VjwtSFFfO65jJYvw2XuTxji+Ra/zs0
9fvW0sx+ET7Gc9WSUsNnl0rBUWHpBjBN07WTwmhMjRgOF2sgt2AGTrqFG4KTDNbhuvQ55uD6suOG
A+XLwby/CDyDtTN13l4/OQt3DZbnIln0QKhRaLCrcoGWDXCefEZ03gMHVAykc9nMbuGdLstVy8PQ
lIWRwEp1Fz7MoTYjZAZA1lf69wwZXcuFa2TKzNG4Aitf5tkFXTiqwWAdzh1w78xdKzSyefB3cy7y
b2B7BZLhwifqM/UB14aAtRcbypqZ7jJbO7PY1u4JjHkucbxoQ+OSxgZdZeksXSggUwwCUt1wwR3p
GFVgvXSX4VrfkKvwm3vuzr0fCTbUizaKG2Mv/liSgcNnFJEKsI24jsoFOI9sRGg+9xTnAjNQbMrB
UnEE2OtksI2qplG4X2iV5cvsuxYw0K0XRGtkrqRpZSrgAbProcuYcweDZMw1qlImi21WRz6ygqhe
haQI5v7wTDRaN7/urYQZaDGFDEZJqQamqDQjLEWxYvSnJxIKBpWnV3b1lgQ5qmxJiWp7zI0NRZE+
SgJp4EdiGdebnNhu38+8MJSXBXiuWCNho+8JcMox2yLwPRZqmplUIwWxCg8UziZzhOGyurW9lEYx
jxMvAL4LPohgLDsUmqgSmV0Ydgst10GdRkkMrlAGrqIxV3qDUbAv5+B0nPseWmk1icw0yjsu4zix
0ZBQH3TbMbevw3rdzOO8unJQbfoYFr/WAcBgnoClmyU4NbsAS3PHvXRhT5/NaAQ6iJbgZeDlxbwa
dOkxKUP1IuskPGsG78I+cQdTcF+UGw/eUo0uRy9bO1htYy5PGbDcfSXRCp9TP/csebACNbkyEOnJ
YnQHl4NLcMxpgzfYD2W0iD3dgItvbiOkODOmg2sqbevQ6FIQE06VZqscYTwjCvDj6r7NumbZ+M1M
Ult9vncgIZZURhdqAzH6Vcz9rOztuAdPjFLmwNX1DMx1GTTPqvbNVq2UbRE1fm0wUJX02rmjboFs
L24b0Nl6fJfmLJtBDKC1IQ7Q2jpulbnis4XbD4jnRH2Iu5RZddSK3ggGfx0JlZpTh6UmEzVYKgNy
+2RfV9eoW8rOOmlwbOM6p6AqVaIzO5LdoaK4oGD1KNTRFvXgiBtddEMUxFDrGrje4E4mxeBF2jqP
985kWa4fVZUCY5UE4ZJoFTvpyhXYvh5w1uxHV4Y60AgETWaiUB7qgmGw3CBBccAT1FRWkWvYGt2q
I8Bjsi+yUvgwSTAMEejkI7x4MO2ljmIwjDJdNdKuYbzrGLh3ssHpvE0GH7Ka5lDputiMdQ9Ukqx0
DKnH4KEbPayBHOT2tsxQG8ORHghO7MJfu+jENorzJNIu911v97tOb8X/vRMx/Dv22VcOPwu1L8Ex
vu3vSf3bp+COseGYRTF9aBjN22fBYHajGwJg7wr/iMb9It62/XmqXzS+C8Y9Hf4u0+u2myFcBcvz
IIrzj1DcZK/TPiA39tuF4zTtDLaXKnD4EaJqmA0xt200Dq4/PiM6nJqEn3qRdRkib2/RONgMpMDt
unC57u72vV0oDsPZV9jcADu5MRwS0+GnLP6TUJyCYTYH4TE41gzBPKTDxQwyhS3icOHc+4hThIM8
wU2ovmSKOFcTpHxrs0g2U6/X57jW5G8NyWQz7nN9PrYiJuFtq5wnyrY1isJd67G+40eNDx/ri/WN
7wrPdGvgU2PCoihLQRF4Lettl63okEzqArdPXx+UirWWgKbskj5f75Mo1Q+LPhnswHChZ7ry4KZR
vIZYrGtIQzHrEmQ1jUfnspaRB5mWz2FSNpcQGxlcDZageTADV0H3CJLMSEqsP9QuaD56UJYORxSs
0sjpnVXXZc5qzGmp7qwSx9Vyvi+HDlbsuga/RAc2C6FOx8tcCVyTNT1etRGm2Qx+uAzs06HsadWl
JBz0Iw39YNEFJFkHvSfW0ZB4TksNcJwQY9IwFsdE83OxDtNQKviYTRe624TrsS1qW8lyvTawXLer
Z63Ss4ugyOuZmzrswhtyfQu2Wa6rwkzxHBheca+jTLoqIxHOQ8kTHII64qIeEkcKIaFZx9U0aXhZ
Nm4F4dRYi800c/W5Ug7WYtlfuKlEbjH8Fpwl1447y9tcvfXctDl30+JbFseOiTxwE92EYVDYLdhL
mlrcVCgqb2Ae9eAY9Ld1Y8NAK1z3A3c5FrVedm/+XafxgyK1Xii5EMumVQSo7X7VrRoWHiZjXSrT
9qBhrIPo17cd5ky56IJ6QXATXeaK7906jqTOC6JhCF5o3m1bdBgsr6IFI60p51k4OD6wXNkpbeoF
w5l/obaBZiWsFzdyyxRDlULvIYzAYGtavV6lSYZMCPtERtAUwf2Yi95yRSP527p9DvZ1yIsg8jTw
tudgKtNEneueAz6JsdwktTp3Y91d1LirzLr3Mi4VjXdL2xC09rzOFm6L2E1a1DmHmEnw7LVgR2Ve
/Fg6HTY9IvnnagmC11VCYjpl58xERVQep46LOWwnUTksejFLI1lceJ0nLhDNxUU3JBltVAiM5els
bMhZBx6tsVnySpWzLH2iVXsOQbdHOYgbz0j1TBpicI9JUteeIWgvgSgXj0CeMKG3Yp6Q/Lrol1jp
41WvlmCIkZDgVZBEoWuWEIWxlAZsj7Fy2x4U+IeWxt6CxqpvCU/SjKqWAjZXpSepjNvzkDrKRdzq
BoNoXH9fR4P2mfkuuF6ZCwIXq+B2APWuu9J7td0mCTGhh39Y47aMiyzv5w6BR1swfFsid/OIuv61
cATYZl0eP/mNu2iDqn1Qi/yCJtk8HPjImADXc8D0BD4yFuORmezLAOCl0yegLeY4WJc1+NK8nFAT
xE3/3XXQWitkDQz6/pb0qv8QM72xkOoEa9Hn8bkPWz62j9ZJvw5ILB4OROGxDQ0Ydqy+ky5wzk+G
nQwaGfaLg6AZpM/B5guKY7/yNI+9hJofLf0xtCoPbl5pCFyWoTxEo4fstDx99KD8j+y0b9H1oSGV
LbGI0qNvVebeZGrXXsa+H3wTjeHERQweg86xogHmMcFaT4CHxeE6icptfSwLD5Tc4RE29Gil3LHG
5/bd3nrs61W5dxU+9vj9d2QJBHeTJrntWA5aYS2aa1/O87WjeYGpamW6ccPadlvFvY91CTalMCee
uTlLN/Wq9N1wU8SimMHPdbKFFoXFvQRxzjiAnRB9edu6fXIlaaV6E3vVudvR6nunqt6i1zRiYVpW
3xPwDPM4L7zLWC3cRe5SbOAcD26vznusHQjFxgi16zph3W0cZld0qC9Y61ko7p1l5qvJQ18hY6yv
9IDOujKQ504ceo+4vGy6ln53ukRa1FVOrLHarcmyDFL/m6uzclWSPjSdxvUfFTkwf7P6GGxYer/6
YOfTcHcLhPpBw4Gl+H719YHCCg1p/nOAQyX0DRBdAQr7R4J6zWg6GXSG1FFuqp6BKBfdI4p0zZDc
slj3RafceK700AHBznAjArOLnHCdKyhcx2m+y411EPW9CpPeXUzqx2fbSmsLPj63bwZL4ipXcnjj
Rz5urENgz6dedU1VIqy2qpo1KmN1HeYssGLRu99LDbzZA3GrjnqVaQQ9jI/KHtk9WvfywaOCRvRZ
SOCtSmP8oDmdsHCKPYjflC7xuESkPk2uWAWOYBmcPgEJXD7kUERCl7uVt8u9b50+J7X+rA0F9Hj/
nGAFtuW8IgZLdLSWuv4w0VMwqBUtX07q98+GTorWY1FTxbpsYwdcRf+XsS9bjlTXovwiIpgRr+Q8
p4f0UC9EucoGCSQESID4+l7gOuW6dbrv7RdCW9oi7Uwk7WGtjTE6+VL5mjv3BZW4uH05bOep8+Dc
//c0Htv3VuH2y6Eq1ulYmkccnmzhEKd5CQ3iXRQhjLdMqtNYZPC5GCLwlFqaJhxgMRXEzb1DebOw
AnFz2MAubm67t9/SGGfejdL65nYcmYhJmsZmycVJ9aX5/zVvnD7h912+Pi/DJ8zS77Gvz5vGvqTf
f1kgymhXSKoT5tD8RGTmL4bArZY88rPT3De3vi7FPJCV/iJEWOpT7/+mnA9puv3vK3niq/y5kOE7
AQ+Hun8TMAfIxeivhSy1qSI8veQnUv4OEhiBU7ur2aWonE2pXetxFopi2wfSepQ0rB6o+d7x6JC2
LDuFYQN74rcoEe/JYVOln6MxjZq7ODNLGztVMNbu0fPLbNtK2z0GU8ub+ubW3Pc1WsnU2nzpzS2E
Vu4dMdJjH8WwXn13WKu6aS/FmP26zAOVjge4E//0zSojtufFPCCDcgiSZpoH9uKv28zas2JcmPh/
4CQjIEz//o49vBA5npgPqNHz93c85NRy88azflJmP6ixIXckYuzUFmm3mHdNmF0/tPDIHcxLeqp/
9xP0t7/7u5Ei11C7ZjLTfgwRjf/Qn/u9LPpRpt9pE9/Hqhx1MsFmjunvneGzNfXZY1uvGA39BOlb
G4rTxjEPz5d5Rc+tWREWCEBhno87zp2fNydOKhb1mNtLq4LjUZeFTEQXi0M9OR688uxNbnt0OYu2
IOWdctinVE0aXoqsBB14daDBt1GVC5Ka4FDWqr307pT9owX/UeMnYmk4fONwRVZfGmHwMw32bUfC
XeR5RaKcEA/elyy9/2Fxhf/+FSM4hygcH/vgrMKn/88jLws6atlD7v0MhMoWLaXOUf++IK6Ib3GW
lfJhHcps5Sna7r+6aoHlVdLOW4008M8WLfxzgeg2A6jx5Bvtn93pMvdT5per2Dj+4q+BeXRAoEw1
Ll0pHVtqV400Ks921bEldflLPVBnF1RBe2kH3V68qTX1V35otp+6BfOLi6+LQ+d37m10q/gaRfTQ
9NK7eYUh12mstskfY+0k+X7/WFWlWVWuVSMlKdlhbrHe/GqVv1tfo1+trI/YoXDbZvPfdzG8IPav
JebhvbFuhJdbAsri+nhx0n/+OKPX6dqKQ/4UDpSPTz7w2+s2Z6FZZ+USyIP0YIVeesi7+i7PMmSy
JmnuV1xHTfIlw6EkixrfxLbvfb4zIfMTkfsVchmudhBBBRLD64Lhvq5Dea1Cvcia0tzPXaIaunVn
CbWcxXkAfJuHsNHY+aZJEfzTY5uPt1maL0OKaHiZMnvd4dRbMReuezS20abS6bgaGJ7kiiAX1Niq
PAZ4ap4H6k0r29zwMCH1wiK2yLsuUBvfksCI4cVSSxqp6CRzgCwTXVByoqra+H5zyLTtJgHP+AYw
nfbil/LXRRa+m/hASP8xkE8q84xomjErCxm+OV4awoWUCBF1wMId7LioD+p3q5lHZtlzR0IWeBPD
j0HGsHkmRWuwz8oOr6UfZ6fCiPw0t74ucx81yTi2/nHurtLxT1XlZvWhlamf5ETkezhB1lPG0m8+
dprLLGl1Kf2K3Lib8js7yi/+pOPqfDjYtg8sVqCtJ/jpdBMC1tv22Dzu4YOK+9Gy2F2LHyQvbCQh
GS51jjRbLFl9mPu4jDeV4maTMtkdrNTSB6sy3SEuXSIBe/hHnltfOmTSnsWsCM95XCBG4wzbzrYI
Aa6iQHA/lbfczsWVO624zi0/13UyVDGMLUTzCQC0UxLgH72gQhCktdi4cQbHvzg0CBZho9yVN4nz
xVZZcBG+vJs23L1pAholqivSU9OlyV9qrFYm+QwQ2WPqH4q2yS/zRQxNcSbmOgtjhNW0JH7+VGl3
3Imx534yj0SU5Eu8HdhazmKMh+lAFDtRarP7oY2SsurL6yzJsODHrKCw4DA2X3gZ1+sRIYblV58v
czvRkiw44Kgn0ZifLZDStyKUZJYkZd6NWeMfUv6P1HLXvRVF+sdYh7jAEqFWjnR4OO6DnNn7uaX6
YfxszX0IRXqAHiEhPeczZnixVznA7IXRhEr6bDsA2W04K0US5Z27I7Uxu4Hr8uiSFCEpy6Rn3fNx
ZcF0vK+4BHhX5OomgMFL0r5hr0NH3xmx2I9AOHichwn8QBlQ4NTQpEUuOioynsHD0UdeW+QtzNuP
NFTkRcRVnPjS4bcKgZJlSuCP//cN9V/Ba3BYiD29j96d30KHNzv854ZahGku+rqNbrlK7eQzIC11
jeQ/K/efwWwLwVpp2yWyRFMwexrltP01ajvlr9GvufOoGww77VbyDrD9f82fbzdPQD4sWwRN45qD
qAc7ESoXyV9GcahhESWk61zkSwfHHAiL+6Pv0nZhUd3fZJM2iywO+5uPnL7WZmlZ7sX3qXweCR33
Q1TZi1lMh8Fekcwz2CQxGmYRLJ1a1adROQBuBGBumLrc6ABwkUzl4Rbub70JOje86TG496ZYk1Fj
nhCc+Q+sD4Jtm9n1JlMsulmdd08RLdhmQe5vvaEGQrcSr4EFywnMHefke8I95LEbrOIq7J54Gz7N
DuhvVd6KX6pRlyJ0PamSeHiuemktETSMTj5BZH7plAgfsEofVJxPO7/JyMlFxO/kqZ68uXy8D7Eo
32yvfo/yIXz1JIg4MU/HZwRuEBUMw+42RPBDeOzqh5IJs6x1M9zZlupWpM79ixBWBwRnk5/TRtqb
QfvqGAKIv3WtIUYCOeJ7D7m9XdT39oHUdbU1IeJhMa3oRg8yOksWWKuQmPHqqmhCFvX6XrCqXDJK
1GPbuO1CuKJ/wsblJZoPzguNLKBmZG99i8bxBf9J8wMGwCka6+g96Pka2cl8n6V+t617/DudL8qL
qUx9J2T9NjDPeXUy3162mQNqQItYoFP2QIKhnw8q2jQV74EwjezXPAu2eUnyx15fBizu3RgbtpXI
FiBYAI5O3nbFD7/WSV4X+t3UJEt0qOWNpmW2dgPLO6haZCeSBXxV2nX2XPThUx+P+t0q2FrrAPjD
irlbQ2mxqLxC3/Mq9daetrtDxEyBDTGTa93k8qHlDNtl7vG3oB7XjmzUoahouYgKSYDTswCrmC6z
GCKKDxskyJdzH4pQ9k0yN5E5RXNW+mzG03RPjeJQ0D9uMysTqvpFZFflzrViAGh6uzmnNnX3OhTu
OssIf1Q8FThwfPHu5a/9mI8/BA7mxdAI+86tR7G1mE+2vpW5VysnWHp1VL+1WbOY5whCPrRrVzfJ
/WKt8egdAg/JCcsR0dJxclDH0sbGscj4HrvhA52tj+niTVbK3N/o8SH73fXV347Owyz1qQvvrqTt
5z3+n33zTeZPGLryhXt2vggpCZbwl7NH3dXtWXFydUFBepy7wkDt28IxF3vqInEDsGhIbUAIoc8C
wvc+A3FmFmPX1A9VuPEjG2C2duhWiDCdvXJUl1BZ6kHl9JCVhXlxna7c1niF2Kojg3lB9oCBfxO3
l9rz9IOrsz/UtOl+jjx+9orIbKVXnniMXHni1qQ5DoH5dZlFXgD4PgSBWJow9K4pMNZXRoFSTq00
mbusPviGUqbqV98YYqGndlWv5lFYGfJ/8O9c9z/pd3i1QEBAmnKDMMDiROWzv5KhtSf4WDHh3ojK
PWCCsNeCgzKSTagD966eDvIxBmiCqF/SNPYlTWOzppqO9eE/NP89b9Zsp3v+/oTf82hhNZu+AW4m
7VLpJqnuzTmMj3bbBaeBhOY898wXU0qzsViJbNx/DrRhCS8Aqf7xiRBuL+NG7PMiSE+AGbB7LPDq
HDTpdpbmi9/SYIONolk4Qd4Xi04RvehiYjY5YDEjyvYhDKbjS2Rouqceu6OCxZe5a25ZtO2WOhst
nBj/DDgB2AyCZ+bM4nbl89G9AmMcPBhey2UIzthmRJLqIXeYfYD9UCSGu2/N2JeP1CHvo3LzW+N0
/dqIFIj4FEgbvBUtX7pl1u5k1ccrZ0Duz0OUO5JcPhRSbAoeVs+h6Nkx0IiTzOJAahe7VqCQcBTy
2YwuXVjOPqykPlslUNVuzNxlNVYhlnkfVGcgn0en9c9la1k7mBJq1XHEgTdmHL8HbtUnpujUKgso
uWnp3nuZ4T94F+awhFnzEI52uC29HIfrvzXKyqqWKnXcDXxZZz1KVRxCl/MT46NccWnzJ5xlP+uh
T99d91Ur3V5LBNf9bRo1GVwnGSRuVAbXvqwc4LJotBJBG7zY0lrnQ8B/OFb5SwN/vb2fomerKIza
UytBest5ARNcSvPSF0ovyiYKDq6k9MV4C2qR/pDOZkqa6+xIzXAc7Aw0jHagibJahERbFiB53bsf
meOfezsq3hqExpOuitNnImuxgFFaPJqOOssU/8y1pLFai9jqTkHOzXZQNpCJtMsP6RCAo0EqcqpI
Wq4ZXuR2h18MeUkPuUaT8bBdwwYfT15tRuRBK2+X2ZZ5KQacAXKIbzoFN25oeJDM/X7ajksvH6A2
bVwDmCxfanYB2p6adjDLCNxNBb/UAC+D5R5/4Ggvnn18hcgjNq8ZMn6rMiQ5oKd1cy6dIl1kiDS+
OUi+Z3b4g9rAbY6AA13CLHb3rWoo/li3fi4qfuZhEf7gZfkurL55BLBf/i/Td3pd05/hOmxVKG3q
uw7wJDaKNvt/bVVqKJwI/BtzswMe3zf+E/E0Nl5kjPdBF9fLoizqV04ZYKuW0peur727wXWQXUZ/
MRarzvTLHAithScHgFGnHWsWaRv8Kc6jYaUONZV38UjKY+oAPJY3g7wvm6JZDIh2vHp8vKNathng
eDsZRPVHG8rvninJs4UI3IIDp7Vjmn7gBeP2wbJbAYy4NN/ySNy3AM08NFN/Dp9ymfme+dYda5ZW
l95Of3n+VTHa634EFnT29+e4gDOMw4m6EtSHMvLVJqhskdSBxzZR2cGyRO4kOhkimk0ngbXZRr2z
jFXaHSMmMhhI9tAfZznNqv6YAdO2VinQ938NzCqhDDFlVlRxM6w4GW7KD6+2w9q7OQONRE95nLos
1rV3OUCMyLKSfokosn0ikapXqF0PZ8i25UwP/amQQaBuFnxEpL5nKbFekFMLFgVrnCsAchH2f4ft
v6bTtPo1Hd/cME8Pg8z/aGh3P3omu2g/7bcRHcSlzS0K3GwoXpqGqjWJQr6xmla85FH4qlO/v9J6
pA8xoppzt4kF2SJ/CJTLNAk01ijx3SY9gvemnmm19b2Uv8SVDA8mzJvFLA6WeUDa6MImTIxo0nPE
gvox61V56B2QAOb+TGSX1GnrR0+ZpYhHJ7FLufaVggkOS/7Ymv7Py1efDRIxKKENYL6TytfALGoC
QqFkabQENw1IfZeXd3EtAJPXysZBSbsNZbw+ZrWpdgXMwj3XqTh4WKBbj2mNNDl31nbWkUvARg5u
CRvuyzJOF2BXtTdAYtNkcBz9YudtkXBmvO9u2t6rXFbvjWzXpkhTlAEINiTIYpp4Boj0IqNZYlfO
IUoj9UNn9MHrRsE+usaHuTrlfoa22MtUF3f2JFWE7lPsb3fzGIc0j3lTXuj3mDflk/49Ly4a4Mh7
4a5mOE3s0wkDH+dbHy9HfEB42NtXMu+SGV2jssha+30pgVPCE6kfYjvbwYzPPiI08rSir4iFONgo
huJcxqW3t4HuWHPmRg+k4S3C30y/A1iO1R/9bJzaTkZXWPfEGauNgjGwHzIghrIa9mbtlua1qrMD
jUt1au0CBBZE8lCdwMo+crHiwvc+LKleq0I5z5EuUF+A6PHiRdJsR8+VOy/V/rqwyvwAHjZdl3nr
HDzgNE+2qssVYtvFs9eXT0iF6ffR6LUu/Py7KZC6lqHJrz4bsNPUIt9mTefdRXmRwy12g7eo/waT
GaD6Unj9iYIMbcA2kf0hcoNFL/LhNA8g1Per5TsAn6ugGhPbBOG169VrI+PhpSPGrMHdR6wxa8yL
cvylra340ZR9fQxIRRe28umLrpi19PB4bGcxHpuTbrP+vkmVuuur4sGdtOLKK7dcGeAyJhHBO0Q+
rfyHCHp99hl+hkJ62VJOFhsodMX9SE2UAFbhbue++WJ0t7SAurrMUiQium3KfEOqyjuUxRDsRRbF
G1+22Bns0lq2jtaPRTiEYK90/TeVyTuGpwNUKmsFpmaVJ4LJg/G67E2BWJ1YGfVv9nj+NAys4gc2
6qdU+d6zVM641cBur2Yxjju9sCystM9R/Fu9yELUTvpvdTLCf519IV6Vg3RgQICAtP+V5HBAlQ5N
WFuPfSycRKSetzD12F3snhf7tm/SNSN59ZhWMEt8l0c/peUuMoVF/KVrAlfvTHGGWQB1KsWjrEEv
lpUXfqlz1EP5vHVpxWz/qTvdOhBAHLepchefuQoxapGUZXlQiPi+N8rZD7oqvqm28xdUMXH1i8bd
VvA7tlnlsGtGpjCoVWXfOJISGYzyeVLXRwWioKG9GC2wYqadQAacAlfNkjlDnAPz9Vj04GFMO8g8
9lsyxfj32DRPxW30P5AV3r8dJeTRPCRj7RDvLAK64C9cD8I3qR/KIXr0XCtaFtoU8rkM0oTkY7Hp
axeEArsfZTI3G221BzVdPkeEb+LF3NmXrZHJaMgi48GwtsPx5JI4OEguwsPcan63/m9i3wcGyT0V
+lsktACP0eC9DFVHHiLHhdFJOn1wrDo6qiLsVi0ynzdk6zOEsvGFc3lEVjn4OU/iFsWkiOm17cHn
nye1RYZlmRPvFpWg3wXlxXVl/hPMjRVxW6ySGjyT0ATinQ7V90iF40vsqHbBPDu4t00RrKqChifF
fGs7ggC6K+wiPwUmAE1p7K19nPtPeYooWamd5ogQXXyIpyCMxcf+UfBU4qzszXvKEqZ8PCAVorrI
zLBbX8TBisbACc2TEAinn5Pgtta/JxmnSt+jBmi1pnTp5yQ2fdLkNn1+Uupa/aOdhkiRgIKw6fyY
r0Q75vRpVNl3JyDOsfcKth8li2HsIsrYprBl22HItv4Ug6w9G0TH2sSfMUggrJLJ37zJMkC1k8Je
WZYTvsjuoy07801pNawbxFO2JGDR1F17rLpmfvHCI54CIWiaXduCDaaG9Dx3zZdZjHm5RuCdHf/q
91vXXWjeNyth7gvtmUM+YYCRAWmOc+vrMvcVQBFvC3HEDkU6+G32gyhckYxlGhydCdIchZ1IXCLC
ozuFjOdRo+3g2MQPWTO0O5cX3nMxxmsk6cIHe4jyuybvH0p3QBLMb+Otw4twaY2ut7I0IDGVbMS2
R/x9Oa9ahxixjQ3Rn+I8ykO5Sx2zCaT6CCbXbEhtYG4sBk74JFrMOdW9E92n1U/PRNaxjU10mg3c
3FnTyK5PnzavS0I1Ijrvdqj7A36ALABw7G0GAGGb32aTDF5mtjRtnh8ly/lDMLI/+0d4fYMI+MOk
H2gev/rusTQeOXFli1sBoqo//0WUyx1Mf7Lsvc7ehmOAH4DnY8KVIidV5NXNUtlq9jON0HLHER9e
9IWrH8yQy40kHlvPicK04B6osX58LPCVPQt2lbZjnspCPX7a7WMtwcf0LHsN2zja81RbJ9IpuJdM
1S+oxHLNplhnx8CV4SJ47YuBLT3YZZc6pSCOWm27oVns35eidBMirfEnWMB+0X6I1A5eRXWPYHAF
/sY/Dcv6u+fPIeF2giV/6ohaRa+2KJ7mlAON3ClHFCHcOj1OokXKyKVOtp5Hu2an6sq8kSgRBr56
ip9zEZeVOpc0Ko46qCjgh230qnmzakvl/OCVtpPYKca7EkbSDr8wWZe0j29cdY+zRsMpHFZa3pQs
640mAtTTUtf3egq+zRoofr2RQWdOEnvaUk0p92a69HbYA2/NnSVxcgO/PmTojEJvUeqI3fhAz55b
1tf58KkgYYK8zo/xNPYlKS/7Q/o9L03xIP730x9vj/73+Q8wt4fMD14fjfcP/A1V8QJU/snswTyO
8b6xnF7vKB+yRRz73bKrWHjgpg0PcyvTKRwg3y3pkrWplfSqS9daAJXRsb5eOohNHGofMF2R249F
VMSrEFvVxviKrUOw3BfthMHxchclIyawjqoAH6nBsqbAnBxC7KxPeNv4kyCFe5klOxtQmIs9FhRR
GycU6R77drPMRBS8mq76GfGA38m4tc7FCIo8D3r3bGILWaliuMtV174BrfkzAFnjtUFkLSFFZ56Z
p+mCNuW1MFl/rlgAHjIh1bmJo3TLnL7dNfBOOXzIldF19zC49ngsqf7mjG73YGrhLpjqsnUYI6sg
cdb9jEOQsvHdbQuHWds6VW+mARSS+1zi+8i8ZY8yG98drHbhyujZN366wUuMxSaspb7LQ3kqUe7n
teTecs4r2QoAK9NX+TVi9V1v5Ww3DDQ8pCIIPi84PjP5vaqBOEwyHKFVRbuP3sV5iwwNreOXvEqB
NffsBmREoy5IieEo1dSsvGCo102R+pcGu9OiT2uyJj0QBQmJc4BqdBHdk9S+eI4evztZ2ySVrESS
RlLC4THryibPeSC6N0JoldR9067YqNkmBC1ugR2gf47DENxcP+9+ZAE4u1mNGm/ae+yEH38EnXUH
p3irkJ1fmigGmrMAPV+B+93znGwKX8WHamiHbUisfTpWYuWY+DCWLaq7xKX/PAo9rDvqhesq1fDA
hbq4YPyBhW/omy76K0Gy9R0pJ8RsoniRpTlZAzGj9qUNtmMX5GcogAmdVl1+FmZEIQxTHocsZ3fz
pa5t52AV3j0qw7G7wrKaBeUkWMmgck59ZJyT3cuXgUjgRIV87Krm0Wni8gIckX2rLOepypzo7DLZ
nkzQXAHqFEfJGYML985sLY42ze5jNphdFnHqJw2t/KOFAHS8GvOQv/YhosZS2816Fi0TXlC8wroP
3a4/61ANSWYJ8epbjC7BJs0PbqxPjtJk9wX8ymPAvWrAlgqZZxtu+l+AsBnIVSCIiXDNpPIJ7Mrb
b1ZUiWWXmhsyI+JSl+wG66Q9m4FhJY29g4pcbfcETiNLQhuEfwRJfuLc7e846bzTMERblNnL6QLI
QAT0/PxuHrRN2t91QxTt5Vi8IccIjd4JzC6mgI19yhSkkMS0Llh3g+hWEpHlJ5gxeuVFMY61SQzB
KgLP2dE7AYrSmsYSNa1Ua4FfHnri8NmMUDvkkMLiIot+6i0yHFDEtRZ5f5Zg4YKLba61YQHqPYBD
3qsVSin+rHoHFh5Tb70fdNdRcZR4qUizbujr2CC/y+DpGM3aj95/6EnU39oij491OqokqssO9XZ0
lGiUcroCxZpuwd7kicRyvnJLy6uYWpHvXDk2fVRYQtc82FUt34CwnC1mEeAmfrac5q1ASrhqo+Cx
Kexu17dhs5jFiGYjIm/Fd2aJ8BH0mv6e62pRTpKsUOORZp1eDfZgHcfpUkXiV6sEAXTT5eH3r64v
tS/d2JM1Uhv49N8zo7A9GFp+1Kkk+6Fu2Y7oND4gfsm31HeyU09pu8kbrzgjlYiSGNKrLyNpIhQG
sPWh77NrjJN5W/GKH0DJUSgr58dbDWz90QNZYO0ae7wMKJ23SgH+AGq8APvK7+1HWd41TQDUARn5
HahdbNv5TbObKjBeDNUUca+yeXVTcbJrrPSiBLYAZONvrNHeIow8fvWQdt0CSGVvO6nBZq/ccuUg
irpzQtytD6zpyOjrBYk853sIx8K1m/CdSP7gwIZYtAgqXnvPWvUBkx++15xz7IWvWYe/sM+L6hqA
0bttjDoTLKVN4ZJ+MwTAytgRQWwhzN1nO2jf3JCzDxGe7DZHIBeL+Roi9/wa5Z5c1J3T3o8h/KO6
VNWRDM0hZsgJppnVXqvW16g9hUxAXQ2LvGrKdzuHmxUL2CQh8cW646I6jKMXnFzgSJZ53Dsvfm9O
iIEQJCpjB1v2urXD+jvNg3HVE7veI0wZ3Yu2f3eAwXnTyNrDI27DO95qdvBoBqAl78yZx5P7EgRv
zJHZYzyiTBIq9ulNmMFEcqi500ZkP2LA5BJHcIN6Mn6/K8vGXjei088ITyBBAg06Gc6krvid27cV
cADt1o6ycheNcbhDuczqiN+y2BhbhZfYr+Ml7etspQcWb41LzVHIvkgGGqePge+3oEoM+0Iy1KTs
wdRFujcbVHmiQBJvkEFWqxncleG7XIY9rXcz9EuD2wekCFHnebTVJNGA9T/adifubVSu8qQKDkHT
lQvP7/qd1k62GokjXuMyekfWZbjWMfOvlZf/pNOeGxRxIrup0IOLOKyJ7XDX0c5swA4X95nbx4hX
6vZHGKMyA9XOu4WURW3T6FaDcL5ynOKVmAZVQYQXX/l0MQ5DSQmGBzUNLddKEAhylmMTyVWeNvF1
VsSrP/0NYSj48NUnrSE8NAE2lukus1oZDOGVfN7782Zl6GwyoBq6fnw2VpavSCXFycoQAEToC/Zz
55XHmMXfosKLT9SDf523D6Pn0YU7uuBsxAcfBUL3UUyck5SFtxhBMQP0BLzQuGzdnehKc0EZSnOh
W2G4WMM5plsJT2Hph9p9BuL/u9cMwwfyc2PeI2yZwdtuLJDVW4USZT1i39guy2zcWyU2at8K7gbs
I1vbWGxZ1qFzC1mG8hSFJYA2F1ivTvkCIEy5HEkLg8uW5jimQI9wlM9es9Ablj1qBKyJbaJjVWvd
JUjJPQRVxLdz39fFack/Ki1xEVeLAP+CNQJQbts+k7ZvExH59KkDrxFlkwLvigJXcFGBhUh5sGHe
OB4HrxPA9wDR3rt1n4xUnfrGgwuICNUDR54JZS/9YTf3OdwLk25U/4e282qS21ii9C9CBLx5bTum
exzNkHxBUJQE7z1+/X7IHhJz+0pa3djYFwQqM6uA6WmDyjznJJo/ivsUG5HzB7UoiMDb1g/clwBJ
iGOkq99VRZnuQJ7OaKkCMNr40IeiaUlNVMrAg2DyRWmi9OughjoAAkCCWTW6JMDDO1pc9vfdbKBA
Mbr13kb9wwojCpJBFp3Q7M1vkdLk81Cqyq5yZp3Snue/TM7wEtjBGdJZEG7nWCHBknRHX6uLZ/Jp
xTPP0vlGQXBtN9s8NQVtUH+yiyk+j+Q1SIW09aekREbNS8yPvH/sj/O0VZN8Yb8EyaPTkeyZ8qc+
htUjh4pd3K7qKQBPS5TY4qrxH9ryhwzsMFRhBw/JznHq+SkJfG9jaO147EJjBrK82FTLRonUBXux
DMXBbsF8tJSTWMohTraqlfMArHTAJDynOnVd+naWIouxBzltbZQIUUHqsMRcTvkm4n2Vqv0B1qhy
ri1Q14pqlcdM8/yzHHgbeLdd6zwaXj6frdrmByCLn9tKSfj487XIE6zzrM0j0jO8MrdWbTnPYmvd
4k5PGvSLYldH+6zxd11qU4Ufk+OMXuyuqKYHqk7GkzpN1tbww+A55K6PkzOhiMjWstKD+clVpiWF
8AiCdddbqsnPNMhNr9QzZL3Mr33YJ+ew/30yCgqt3VQePJfEbRklzl3jNzyLLWda0iBbJafroXUe
qPJOh75DLZC0KSWK0nE3g5J+9ZMw+QafFj6yqbSf+b7Xtm3sBx/AokR7M679R1vlTREl39lcUYDv
6kUb2eKnZRnKYfB0ULWWR3YA7WRc+uig/IWq05DqT0bzEplNgLiXnUJL4AWO0cpl6NXprW8jsZLP
mhJty5l8gJlY6S6aFeNZDlWo8VgAu/ugBeqbrW47BKdHHeGjtDYvcYOmPVDQs09JYXmHMl5w4o5m
3rURmRYPGtdHLbSbl6EZNkg+FB9NB+WpRFWelwd1v2u0VwPE6okEgX8ZWmWWbeNpiA+ZXsY1VAhI
4CUM2GOqpim12OKH68cF5NlhQICZTPPQmuOzVSACOHnpfLQ8371PauVzGBfJyzBlW7Orm4/BNNVo
R7hPpdFqD2Wg1B89Y7C2PTQtvmEZIkTgoyhAasZv/QerAFTVl8BP89j+XZvn+DXI4vo2UkMqQl6Q
vNoJ5R5zaKIb8Sbm2G780CxBr+CFaQ1dJ1E+qK6pvvD7AYwF8+j0+SkNC3tjs9G8dxQEt8reMm4s
o0kR41LtTxZ1zpsMANPOJ+5TRioBCrer7sjr451UBKYLft6VxLFIsYT10QQmupe5utcHx1Iru/1l
bgfojF978nxLME94zaGYQcaLN+nJ/ZnTXF2GwLT4wZpG9SDB+YBClTma/sWrBkm+rzsSY5e54+jv
HAraRwk2+laHq+f6F29qNx1aOhmCZss9q9FA4a2nJCR/QjKHCjJGbXJEj+IGKfj+sYf9eciiuTy5
yT3ok+ij0mx7TR0+KsiPfMzq8XM4kcQtzHy8qXoT5L4xDo9dm95aUe/dO4YSIfez2FrtezUr5cPF
1BtD8gApfOOrJVSPmB0zQPPwzh3c4VHi0elFWMrOo6Obj9vMyQce8SJnB6Q6vQ+CUXvJtPFHTnLq
e1mGMKILw3rMfAvtttG9a9s5e+qs5FOnJsGr7eX6HdRuCEneGLzWSdseyLVPB/ECHmi21Ai9O/EW
Zv0ha4r+KYhc43P3vamy4EYPC3TuBqvexJld7xqlqo9NTJETWvc8IacMQR4FV+fnabqcmujz6tt3
Ae9OzUwrD8lE+iCwXvxpCD7b/HkfPBMY7+gFnw3ebc9+CsF5GSnWYD7GwfQio3jOYcXnww8Z1fzR
J8OJKsqtVfh5rqvu3h2p0cmqcTujgQUyBRkaxXicfPXtYCq3joLk5mrmgR+5Sj/4JEGrPTU7bY/Q
r42WG7NXRxHE6qbyYQusNgkhH8Fex3aR+Px5Ob9nw2jVmvYpSZxDNLTTV3e2/d2MdvZp0nL1rOqk
u8BO79yYPXI41eE2WoQA5IC0yNtZSs89Pt45v+EO4gDiRb70p7fIvP3YQyi5ckhwuniHTgneeVNR
ILCHhqwEudfLqk2D2l8zA9zrNq1NgmXRZyoW3SY5iGhzuijjytnqWONWx1XcvwhZl58BxCcbWX+d
97e38C9Crpb6F3f5t1db73INuVr+IoN95b56PdZl1pu5WmYN+d9ej79d5p+vJNPkLrV+qg5dGL2s
f4LY1+HfXuJvQ1bH1Qvxvy+1/hlXS60v2P90tas7+J/m/vPr8rdL/fOdugGYIcM3kOKbJh7touVj
KId/GL9zUYpiVi6dJZapl3GHGvJllcv4MuHdtL+8ghhlqfez/v6O1quuMSp153m/et6v9P96fTYz
bL0HM+bpfL3iZdXLddbrvrf+v173csX3f4lcvYUDYVVDf1ivut7VlW0dXt/o304Rx7tbX5cQD6LL
OYrPHNYV5Oxf2P5FyP++FJj6bjchcoFs79Q8dGPo7GsQ8VsZhr3bPIxm3oDcwQtGy9qqFaqlitsU
+jFt0LVqao8nysUtgeMUgIkDvHLqwxZN5QLZEvon4A7oiEBDkDOYXxh0YupnL72vPJ4CS73Uj/pk
ODuTotIW3t+WMgPQy0Wx6KJnJNJGomoEF6+sNnJqjXOibFetI915m7iaVjUk3zfQ0qzpkuhHjXJr
+qjT5VmWHKlJkY9Ss+IFVOaNWeXtg+Ha+YtC9uVkee2T+CSq4pN78Ox63GlLhITpCWo6IcmWOwnR
fZVHJPSUl1UlIC0LMFxmDFhwuYg4/uXVdbd/cizdJ4n6F1f2puDU6/5vQW6Qgcvd4TyDxAIHlqP5
I2P01sLtmHpv7tVh/gqxTYWQYiSkGN6myVw5SBwq6W+rWFWCVKAJeVcrYbQYdUwVQE7lQJbQiaHO
4FoPl6DEdc+gL6fjuzkgT3+Gv7MWoZa629FQB8Scwpy9pmk/9FrkPMhZCn277/PufGXngSja8XzK
e+hqwtiGpz4J6DXzcw2JkEPJ9nbT+XZ/XG1yFqZOfwMN8o8ruyxSNu59Xc422oc/781Jh0OmokVZ
gbcHM0mdEC0Ti5fI2eZ27V3s4hS7nK0H4HX2vQznPsrhEi2ruBRT/Dp+myvTGjPyd5GB9qOfZeMB
CABC9vGMgq5tec0T80iSoOuh8K4FQk3azh4PsVe0T0Ogtk+1Vjp3Tu9+FNNqb+f5o5W1LnsNQuWQ
AUc+2GbQb6dlptgu15CVVqNcx3WC6XIdcajl/CUrUBUVmq6coZL1/MbXvaLu2mDty83FdzkXzq6w
d0MaShyjdudV0Vm6JKitYaTVJqvQTlUqxeZc+ii8P281o1a3Eu63dT/e08yITjhNn+2apTWCulCi
E6XzXLIbnK4Ho2zQwCObfx1yzbwWfxC70LHfhRqKP8h0IWJXXriJ/C5CO4ictWlAlG5S174PF1AE
ImnqtwxB8XaooDj8ightTbs18iHb6rdXoJ8kA3x+EKOzCObBf7VIgOyKX9igxkKhzw6oHC25PT4p
LxFV1Ps1++doRYa0UttvxFbOdKVkS5G+tFTDLnFALYa9YbfNzmrK5tnwjOwQtXW8C60YtQeQgjlw
kCzeDb5XP5fDVD+LTVts3UURghztQcbivlpnVOPHpqP1UW8jet8jjnfyBirEGxnHfmjcu/pD0RVj
vrs4SD6BBxid7rcQfQcK9/QtUZWg3K0rdHn8ttaVLVzW8/WHK7OtRspR0cfn7pdQ3rvflTchvdqn
nZcJV2j9OZGzf/hFuvzIDH6kbgNAT1sYfs7WV6iYZmn0OsALO+aL3pIc0l9nk+gqrWNx90NymXFl
lyE76P4I8v9LM3TuvCHxCWvKg8ScmZFyXg+537wNTVq1dMBETuIU+2VuDxtnG8z1vF+nkVX3d2hW
altz4gt5Y0I4hAY1NDv0qaIIELBW7VHs/WpMXRbctbkz0HggZ2MaNdVtPKfVbUKvNPVlsMgdqKOb
byWmXgIToSpMHsjojqobecgHMbkh2tk8jA6Kv200Ndt6Ok0D5tGZb/iZ0x4hs+qPcpYhhafPUXde
7TrqRadMt+hLQ6inAqql7VRpHR1uG4ofxvVAWo+/BNT3LlKQkLm4I9NLmPLzahLdLJccC4WSDFdb
byCs8+bUN+blau/s9O4CHYM01DDrt3MaVUfy1OoHr8sqJAh9+3edpmlhlw2/uW0+bGtI/U/+r9jI
cOar2MH5UnOZtAof7ECjBNA1agiuvSGdlCPmk07WcHFXdkRGEqTDm62AWFUgYXqQGZfJss4QLkm9
KnQ3zbJWXYCj3MmK9hjeSMj1lGVtqLXRvcwQb2FVu1R3nNF+BLOe790mJr26/Il2CE9ES6rvoY0Q
eGU16WNVJ8hfoud1sOC5fJTYeOyvY9Wehgf9DPRB0Wtl42j8JAlnoNER9a+shOECI1aN/M0rbAPx
0sDVuXhlbtFRh1Q9w6Tpgc86W5M6+aZeJFXI15OBr8BPrUPxVosYi3izoryPahNAU6MdYyAeG9NP
AU1RTH2Us9Wx2sLFC4JDO9oxbAWJk8PQOm8OuBu/z1T45mGgiLpOkEtcrSSXmFA72YhDgtdrp8tN
gb5qzhWwJsMxy709AceL7DH+Cg/Kayf1a8ALQLEwMvcA8LWvlaUBsiqnD1MxwM9TkpRKeKB9dXLV
ofip+ucgnVU0wHjDLtNl1bzN69uRfO+/W9UfdbQxFMVxtjw83lqDax01v4eZDT5r481Kf4r0KHgN
aWYUVGT7WzeePxYV3QtaTfkMf6540LuYriJLFKRFnp1tt9qJ10v0ij+FJcUrS8LKG07ijUz13ZL5
lFMoZg1Uqn+npIC2uu8VIOid7kVVkva2c0P7kJGw/6zM0YP8Dq8RKcDP2zJyrEPYWChtm70y0Ylo
tqqjPCfPcWTcm06+vXpWhlTJE/isqsa9Fb9532ziiZr6nYcGTURfHtUp+NwYRfMhWRTMjDRFRcds
7lp1UOha8HNIUTQ4y2HOUTzTpvJsKwhzsVBx06DM/yIHD4BHmYDFkxHaFvq5Mtt7ozebZJtN2XjM
OlogiXfm8//iZGmL+FOELm4MR2g7tepd2XbOWUIm3R8ebHc+rhN0e05u+AaFVS8ToDJb29aqokvM
5bpz8lgWRXhZxNDq5jGcKHzKXTjA8FEu9q2NxMoB1HS6A9s0HGj1ltzMilsiMZoEH5R0p8b03iq6
ZvgwBbW+jQa0H8U2grg9gYr63SuC4YOYqsJEKihTz85iGkCn09jL5ilyGZZs+l4M64v4JNyM4ZF6
GZSdVvXNuynzv6IdMtx7QTDcT/4ICl1O5cDXu6K092vAdVT1a6rEyNAv2qDayFjlnbvXrbm/rLnG
ZEVMV5J1tqxr1dPbfVyWkHGZOR/VoQ5oo8cNriF2o/KLGnifQosmBl7nmbRuUWibAhSHUzmsY/FL
pLiddIzfImVsr5EXl4RSkJi2WoDOiATJGnK2XtKeA8XY/uXVJJI9argJI5CJqt6Mj46tJLt41JK9
DHsvxNYb42Pvzs5mQIPicOXwh/T3kHrL7bW9WLovZNp9ndepvZFFRveDPpXDQ6AHLeCkzDl47Cyf
bTWrN349D7cylEPSuS+q2ccnGVVxrD131rjLkzB8LJaRZwbBM8TMdUqFCse566wbf2rmaOt1LSoD
XvZdg/5NE1ibXjm6rhuby/TlwqMZDocmysApVfUWeM/wXDtq+AEiALhK/4McjNhuQRBZ/l262NwG
oOo8K+1OvFTru8ecrmqV6b1N0HsgDNak8CHHBBUt2ztzXx4kHuxtfuoL5881Hmog8C67eZaAqqdt
TtCH040M57bsAKPZ0VaGipsaL3n5OUvSt6uhilSRvrSdWyNtE1A3hUHSxkU2+6xHIEfKCv1vpUmL
s9iiwgJEvI7NWwOi3FkM/jJJomQoByOy6eSRF2iIL97VsQ412zcPoWWDEfxsaG55HicjeIZVTLFp
TIutBfBx1w7NfKAKj5C1G4XPakTznqnM/ssrc83O20hsarjBB5kPuf96vkSEJv+vqyv8ur441zUA
BR+oyzf0vIvgB4RoeCV1kvsbG/LO2VVoCujSR3pvWsOPuqXvV7xgrDcS3dmRs51CY3ySQ2vU5rn0
0Rmv2+kptyF5ZDS4O8o9JVP/1W+s+nQZuZTRGhpibBJ5OX555e6yv/CmpMTeze2WucPy0uVqQh8X
ZJJgONHEp07K+g64INpSAGAXafI0Wgr+i6VQY+/OHvM/xXUJqv1un1ZutF/nBAONKqY+eFtHHGr6
/3Od9drj//1+un5Wt4aFQlmVWsapaGhbHOvWbesbPG+lfW+cpoplePRKjVNqG/HdCAUYSW/jJKZB
vJcYCa8g5ey1loZf4pdIWVuGyjirQARQt960STXtxSjuyxUlfISEtId8VW8iN0revqXLCZzPpjSN
6aab271qVrSQJalh3kVVZgHd5ju/DfjJO8nYk+938ZPLmdx9WbXtzdtzjT9Gt9ILkQ9I8Oh2qXsY
i9a49EcUm7o4EN2HmVPTF1enb2KO8g5alsspIr5fet0qbyVWTDJB4+2z452CLMoyXxxDn7knW5+U
w9L2sEmH8gRWojrNqJCf/mooDgmZZutk1zPU2v97rKyURsF3x0YRrbY/lIqhbOXMBLRyOcsXW5kq
1gc5+xdxruMqoIJJZrrp/kobS4Y6MF4ljwDMLs9xYpJDHfbBOyXaFGhB6hvItmXBmW6XkM+oL5tm
BsZ5NA0AzPEHYzH7WZfcTeyltzK0Kqj3aCQpAJjn4lXXSMKTBXLO4uWJ/rLGzDPNU+yEHwLISq8c
aM0ZmTzHINNqZ2WqHovSeWl8u759N4QcctsHCJoclca7eAPEyp5j27ROIg0/I5NiTUZ3L2rx/qID
30RKtEdNXt85fcmXFz0AktPsvk1YBeVdI71MFZPMH60k3jtAaXalW6XkOrvpWGiR8VxCtNp3JXky
07KMZ7H5Cq3tysJuLiHimFhggzJbflfq0x9dYNG/Ju+MZ7WmT1Icqmeta91oW7xOcMWe28U1da1y
1uzxpjUcL0LnNJvuEkX/8xJpQtYCnW4WW7nmejNp0AEIARZTgmG/F3va0hC4iufmeFlqvRlxyw2i
t3+5kXW54lXzEuc2j3V6uC87RmPZWbqR0t8A9Ye3pbCl36xGbaKR4yD7RQkH803kpNNXcZm4LrE6
Vtu6zLwsM/M5Re55/EwK7RVCpfKxLSbrSNOD8qbN6vQjSn6/6QAff/xnwBi5T34dkJYRKaBJhSdj
IOQlYoBqSINBu8reD81lKMHileB1KN6ruQWq+3QGzKEodJZxzhLwQKPvfgHfqvl3gdaWcBcgdKZ1
qUykaWLzTG7XOEt0M7a7pDZoPtv+mRaWeRci8URPQZ9/VaWUCOwoQ1EjIoYVQebxnpSQeKclRM7k
UDeQpC6e67Edtcad3f8oPci8rcTJcjImidRBhaZB6xTYxQaV+wwaNAdj1kLlZqxI2M/8jmx7q8rd
P9PUzO5BA5ekPqMsu29ARG1p0qBtZVLjpvRb7DpYcaBgFfNclSqs9WGCAbhIPS9DVKOmx0svDMd7
81pqXz/PrZqeIeC9sussvnRZTL+XIvJfuw44ktYX06uP0P3Ga5v81XdSOjoUgfe5CxuaJlpwdjsD
RhNlA+9Ocwz/wtM249i/DDWReijRnROvDFev8Or+7dw0DWh9MrAlbxf2p9EBjzHqSONZwXPO9qJ2
QvkMFPtEzfB+CKq92EYglzNN/Rb3MiXrC21fLyuYELr2nqbXe7dWyhvkU+ibCm33q57EnxsoBs9q
X+mPQ0Y7NLHnWU+TCxUYubeAeqE/82imffHnip6ANpA64FrJV9htzaYJPP8BLOD8Uirts9gDPasO
qW9aJMa4SNS0h84ETtSis/lKB4AwHn8f5oDeg3ytPfdlO9O/M6huVDMLXtgOgqG3c/v36Jveon8i
kcibTc92jCzM25M1epMwn/Ip3CFhkcKB+qWjLUaoBnSIn5z0DBrPecwrRdkqgcWv2a+zICdVKrbo
19nqvZzFY3HucsSxosB+Dnl6vZWGIXKAxG4+WLGvHu2UjoVXDhlOsf9clpl7K7FrRGiQO7OtpWFi
GtDoM8k/aHUa730V2H/RQByLlbLcWr2T/mjHeDub0/gtiOt4P9fJ+4hmKZH8Y4ToRKVxhBhmOH0z
AwXCR47U5hF1m4xPkaLSWWTZkTQhTUIsFU0wO2xDMrGyOXGWjYb4/QB+gxJZ9x6aod3OWxzi9VKX
D01anyelrCGFLHuad9OWtakBj/dNfRYNbb0n4WtUXvkyAUy8HVxFP4xzqXwmg3WJMCD9bLIJ4SE7
hhKVUx/WDKV50bPiO6VnbZH0bl/QUZweAme8MXJue6sW9Aa3JiT+JVYOhpp+R8JOu5dR1UUznEpa
ArEpfWJzue3nmrKkn5m7dnLGL21DHq4wyI7MTTt9cvR8JxRo5FHZDnehuROWs6s72sa1bfUMQXGb
hlqvfIj8adoHrlLYMGWQxZVDaNNMULGWg3QUlFOwtaYOpaD7LeO7kUrB0mtQwhdO+9+d5nRu2tTQ
YeG9VtP4HC3f14h9WdRwUottPcSF/A8aRueHpgwmBFw5zOBu72enok3y5CBzj8kwAl7bq5A8Nsb7
dArNzYwKx26du8bJWZA0x/jXUldhifuo0MGviY5IrtDjgzYWu7a18yerTNlomkl8rPU23TV6xE5T
TSHOd+p8a5n1b0OZeQe9V+etKPQnY9Y8i6316CI+KmPzLI6/tanLXBh+UFPXGJmS1rT67Ca6BErh
cRWIvpQt35U6wy63D/4wfJKq5cV90Y7+7/NLedM0DEjCsmRHf81DX3Sf3GiH+OXGopfTeZjoZrRP
FKieTv5fQxH5zwcydGnfHi8NAn6GtgsXWZoC/LLLijISu0T8Wlrs5sJd/hUvl5RQ75tdIcBULqrV
cqCZgb2n8dO8WW1ytuhnnvXCQ8ZWYiwXXUL4+m/z6JABKUgih6QKzuOQOPuiSt7HrCu2CK8dqUb9
bve08q4q6+HyesgQ1Sto0cHb/cptUmW7hIndzR2qAL+mXobiubKR8f3uB3W10fRB3Tct32yiLlA2
xu8A6vvHAGgxGFba1C9i5U1QZSfTRCdUomSSE/SoLyze/57UNsn5rVSiRRq9hc0culuZTOfapJPM
Jint8SzjYKbO30+UEsWmLDHvA2Fd7/m2ci6zxU1OWKOySP4N7LWB8FD8h0nl7VbJJ+NJDnPbOztn
aIL9aquh11FCpCF6lqsm2+I+2A3z7D3KgWw1GImanHc++ig4aoX3GNqJ8VCP3yTgnbnrtQNyttlW
bOsapPTAPTWOc1lDHHaueWc94FFzuVT363qggNIDPWCHawfPHD8ovfa36+KVx8egNOmd2Xv6DQpK
SMIssmqIGtbPhl7As3bMxyanzVe1HJYAMUmAHGLnvUlCl4mAla3LxP9ca13+P9eaivYLHRy0O5fm
845N4zk5xFphHgPN77Yh8mLpti0QRdJnz7ztlr50fZ95T30WLjmqOd0OwWAefZXoy5jEFbX4XHuL
dqDjPBVsZa6j1+vJDHVZX2yTOXpPI+vLqCu11ygLX8ckcp7Hgce9KjHCWxkKdcebnXtYaM1ZODxZ
7AXPsUaL4JbwZU6IMj1cRvNjtJjETrR/THpQU7UFGWzb0dB1pzV8cmSGxMBAfrvUutRyKYck7lnC
tLYIn/0ant+yhgrz6jRwmcxbKluqnx+CRTg+Baf/FGb9Q027nXsxyaFE1enozImOmCNhZB5BWsTE
qVY3AT6hAWo1mvHSHrHo7RvZSiTyEyenckDDkUbamqZtZJsiNtmWyNlqW2dc2WQBk6rfRnWLbh9C
AAUyhF7YO9EwyKLOba2mdGZY5MSgu74JhhVTvbcsHYnMPtSzgwJ/8lAvBdI5KbMDNIPkIO0qVu8U
6D9GDQQNJb1oC0/J2V/B5GUo3pKS48W7wuQFTk+VNrzMvXJcllq8ycw72fP4sfNgEZWF9XkuUery
NRT93V6zPvud/s1HdelRnF2rbxDJ0z9WGU1aJj08ijnMXP1sDPBwRz2yP4+F2tzmakm34WVFK2ho
J+nF1NGWIa0g3y5wWXJ0ri5AMfHdBSK3cQ9ImYJ6hebSnqww2TIk7SLDzALQN2n6NqUdGgKe7qnz
p2jXWFH0WwWRY9bRP+0sxTwMemEjalEkn+jX9iwBACgdxC4C43GdOUM0+q3S2AR7vvklnTPr0FoB
bysL1fp0zNCHiXjb9QvYZT2ILR/J8sZeflztXlQPhwqgJHmuCPLNf06VoSJgymUuPN3i3dzpJY54
M1ldUJebbulPIQe76EhUyWkdA8Fql8PqFts0B+FuHkgEieN6ics6ZU2hmCz0ztBrdBR/HYaub+76
EujSL1MAGulkjAjt7X6eQjns5+ZdTNFG4zFpvd9oflo8oJWsn2vlIAOkoQG+2DyOX+xVdhS7WOSs
XeYMSaOfebZZzYFm0FIReN4l/uei79ZbL/YfiwZNdOjzJnKdrQ5zatlTyAbE8l37OI7Jt8sWZbHL
2dX+A6Lwl96ewdMuEeDL9EMUj2SLl+EaSz9q+1iF0bfLDki8l/1MXw07AE7ufWxkFSmdvP7QpBD4
VGUONCB3DjrClfNxotHORwRr/kza0v2k8f1JDk/zT3Nc1/e6ARAy6R3jA6/5sAmVVv1daR/HRb1r
mWNV+tscX1P8UxNE9f2cFNNeG6btlBXsislof2v5ft70iLg81k2PnIcasPsKs/lb46D9gF7ktE0b
tBydYSp2VFTiR6DH463tTspRd5ri2dW8ip0PPCzDQ255ufwUDU9j3+hfriZpba2gtmoWz+2ie+BO
unNrDt5ES2uDB0j4QbVzSKzc+JzU40M6uekP+u/BpOTp7QV9zRqOKRGhohqf66GnpRD5s7+K+LXG
30ZAYnO3OSzgndsln9ClyJ4E6NDtVapbn62pqSGAhR8FUFGEqn03orF1gTlkpQHUk24YB2NEvapD
b/dYGnm/LQpTvxMkRJxHl0VlfruTRSfQkrKoYCggdjqXRTtt6vYxTUuAFvOYojrDU6BW+YneBuxA
Zre7DOHQN8+iG6thIneCwspiEvtiqmM1P8kSv9YRU2yhexwrGi8z8v02oEeIV4h8BKfZ1pPHxnKb
bReG+Y9u2ae3nveNfln+LmWjdYmwWrXf0CB044G0O9h0RuOF+JlPRQ6geSzKVMPhKJtJ8qer0UIH
e9NrClsXmU3RptroaD4sP8iBvSvGmfTalGWP9DnU4Fmj99ZV8Qig6r8dta2wl1gcARm1y4yk93gX
L44gLs2TbqBDfB5JVdHhUm0+vOV3BsPJDiMF6tNYaiiA9ZP6vU1e4yDOfpDpU7eRN80PGvimEwT2
NSDvo32dKuD5ljavU9sdLLV17u3Jt5wd6ZLkkCOkCMpIiy5uuqE59xF/D/JDSXJIod7dpjokdvnL
gFnvDdD/r92I0sdqRxtnb6Y08f2LeHux65FXgGxs0CIrkPdIk5pP6dKfV8aqG9QbysbWzfKbsPVK
bdyYdtaeW78yXhsqL3VLEpLkwENY015ZVDbRWUHSSkHvUIambf7zpIqGXfqcT2eSVAXyt8tBQacS
eCH9M9r5p21xxKFp0xFmAPak2vsJdeNSc6tT3EzTc7gc8tHaN2WBuvsykgOAfzNqeOhcLF7WqY8d
tWIZoeGIHgfIvrPqB/erKR7r7H7o1a9ikoPdecWtq+rtZWYT1eFtXlt/0KKnu0f7kzZG3Zj091ZQ
dFuE0C1qTENJvn0xikci5ewSLmMzyP7IU1UFL5OMJ7ZM2r6ae/pVLzBLbYB9w3M5HhlLjJzJAZU0
dAuS02pGvhcAZ9l1bxPqpoQ/O6uPie7QykhpPYfvZEXnletoHjtVgbuLE2P62PQheVTLe9ZVsFzh
WKIeamvKvTjnQVUhVBbVUbyua1U3mR/6W/G6/NSc7cn5DrN4+mihBf2BdgBFXdfdtqiVx2pAW0wi
Cwt29tLW/FbW0Ws+Oo01THvx6k033GnwXVHD5I7AccRPsV7eybISARISwT6lepFRlCNEyZazOslq
pK86ROyrCRktuzhFZu5uLK1nGzaH+icfMisFjwiZqGhQbwbeyLcGMrpnWNl8NddB+bFCHIP+RVX0
W8GL5pPwCWgX1OzUIB5vuiAHcLG03mU7rW2jKKxQxWN4acoLmiE586O0NI02Idso9DyO21jbpn72
H4GhQxMAv8oOal5Fm3Bp2KwsJTh/6dqckgPy+rF9EJM47QYBG9UzB5qBEiEOu0PISeaLbV1Eszow
uln3IHa1UQZa0tAzC76+dqq7Kr8pQ//ZnxUT6S+RtAoyHSErDY3U2Y9/ZPyWI66yeMLG45ReMMnB
rnOAT4uRbliEy+klFOnKfN91lKW82t953mtYtNPjmgKYFBNagB8pN5I4EEfUmOMeEeV6xxes8SSO
VG+oeRfaKwIZ6Z1TFDlffJ5+NLPOeyhb+hrQFpuGCv48b9XaiV/bwS02zpz53yu3ehgGEvKbcf5W
suHjVS1aGCR99UdiZp+tIcm/dQr/WvjL0yf2A9kuzNPmuesLEgKmpZ3dcJxvpsDp7irVG+4jCmTX
Vy5G8/2VreXKSlg+lFNBnqVIv1G0f3/lvks+x2WmbuPc7B/nKD8gYoYa92wqR7OYlO/GwPvc6xL9
A3Ig7h6Jf+8E57+/o46uHY0hVp8SBM22TlOVX6yme11A28z/E2kjKp1z8l3RFPU16J1kp/OhfwpS
On/C347vIvrUn8c2nveWNxcfndBHMDo0td9opPF2Gxq3ofhB8FtnkAS8uo1p9v7rNv4Pa1e2ZKeu
ZL+ICJAYX/c81zy4Xgjbx0bMgwABX99LSbl22ce3b3REvxAolRI17I2kzJVrxbZf/vZjNNjYnDn2
yctuwPe5VpCvQBIifwQVbHnHW7xWdMsOTFyA5Su8sbiQCbstuQok77bUpOFiAlaJmi0f5uGo6/bk
Ug9FYQBqzEGK7E12vOq5cB7C0srvcNQCMKF1HqAn4DxALxlfdYggHcnWRJFG/WquK5AcPwBhlN+5
4ftwSIIhnxg7iCbYnXnqWkhP0kXquxTwd9fogS7VLTfuJ8RWMo7Aqe4BOQ9Ueyxzb4KlckW6DraF
6AJSINMJbLDQ1DO/k1lCevBAXqRTQ17FNI6nqjbvsG8Jl3FVgQ9zVHZz6jWDCl1Y2/fYH4MMOgb9
4/7aAWkEeJsf3uPQrMs23LUlTs4c8bM9Je+yFNxXYJjwQYYKnDX1gvM62FOmL2dTt4QEwQI18uF6
Bg5MSohFGCp/W8ZWw1eo8ykvljZCU8Hfmh6K4Ed9oTvqZWBxW7S6t26BnelUW+4LkITdTII/MmKp
1a3RNR+Jwpb6dOvapz3ND8/fx0EvdPaseMNRSAZYWKiccZ224FCiLeC8GyTjEFfQCdGbRUqV02X2
tluOKl9k2K+XYDTG9Vhh96uEu0tsgwOkEI9vAHatqixIX8a4qVDqBztx06ZxACaLOpvt/qgZxiCn
+qbtV3+L2T+wfVN4hyH2MmjGdrpATx7VIgrqzNS89kbaL/faCWAHOi0WWS4ukYWFq20VKi10micI
wmg18JwdKLvjlbfTNMqXP7yUl+jc4iHD6f/OwD+t4y4SF37s2Su/EEhw1vqMz+VwV4/4l1Jao2c4
s1F6beCGd5fZJn8Ay87awHoDzRSnOxkZzmukVMMyC9s5JlBEpHVsIPtSAJou5JF628w5jKCtuI8i
YdMcZO4hLXoSOeagKTniYMAjpVB3F2UKBatOPFRjXYN+B0ClmsfioQRxP8ha/OUEoVYox/EemoZh
6G1q233vTXGspqFk+tt47UGdHgrs1g40aVA70HhtpX8VOROYe6Vdn/CryJmz3HREc6LeSWfGqRfZ
cTgLKB1ce+nbRE3hsc9j/+ZM3zW81dKTOhaxNywLNzAejWj81904sHeb+rj7w89IImMxyGbYyiLl
RzH4IN3RH1rgIO7HahgfnL7lR4hSZ1A1xIezAd03x+nlk50+zOEvf5WAC3TqS+Wa68r1ECACiclx
koIdR9a6q9xO+IJs146/NRFLYPWCxl27eTG5q1ZE/M8OS8+fYcVdtT6HxJdhiRu65GX2iPpVD4jH
Xya6A69bsASnfLYuSS+TjFUiQZvi+qBA+907FgC7Z+63q5mPUXx9Qu6V70/wHGC3NGtcsGSRyNY0
4ursGvlDpPK9YYBlE9VLyaLOh2TTQuUTWnI+27eTWV9Mnek1RB4czQ4QA53pxUor7yViTpBZqKHb
qj2oI5f23kIN2TwI5cXdSkLcbLSm8AI50nZhZEH1pa2QjnRYLo552Fcv0COb7c0IlSIIEtnrOm3q
LxX2qpZVlve8CMFWlI9AGmt7r4ejAiq6Dq8hufoQud0zRC7KFbT30gdlItxCd2RT2jZqG939//gZ
JcILhQmu6WEQ1jLgE+j29RvN2U792L7aTIzH0QRmmaxpllvLQeGNUgkO/Yp1N4EEO4AIjwGCvE0j
E2tLQheTxy+OVZr3aT6kt7Fk/5CZvPzYN7eFbY+v2ssMvC3PgYfREtvYa6Ka2cFLAPl454FspRCr
AUWOd9yBPknigArWA+p6Sx40wB4R7iTFbbLpAb0L9tY5DuCzKAaIL12DtVu8AC7d7MO+YWuhQ18e
7E7rfLaXOBa9af+/2dWUQX22DhdiEN0lLZS/SVlfrstC5E+gMeQ76FIGSxG2+ZMSDYqWvchbGAGa
yRQiKKF1jsjZ4uDz6XN1oc60Sqb7FCRkEbZOCjpbqzwq2SPrVHynvFbt+tT1TYTh3PZQYbHMFsqK
wr3Nt5YjZf8PdRgl6K6OORvaw+wO2T7ozUCECmCsGiQyUzVc7LjsXtqVO9jqxTRkC8GpIYOaCZpR
1WmGSQMysLoJVdIK4gooZaFmPkDBLHLUAzLTwZ3fuWcy468LhqIIIPcqbTClDxW0HEIwO+r1rPEt
tMd2k2Y4312XW0RHsnERI0ICLYBPyzCtttfFNxzWuqj3kwP1CVJgQecEmZczmWggQww6BhnSyQa7
O86Qltr0OsuWd0N7H0/hpu1EdEOmzvShdyyaf6iPTNdBV9vvg9phqo9Wp/4h///roJgSgPSUTvqI
k3rDTZBEgHpUUvH629hERyPBbvOhCNvysUjDn5beddVeEy98bCbPoBPkc9P9vUm9V2dErOT52lQp
Ks6sLKpXgbEPbV1ZPHB/ukUrojrj/q8t7hXFQmVufQ9ICFs6uWB3PrPGDWSlmxOI4PqDkhDLCTxf
3iC+zFcGABNPUw0hjbGsm29+LfbSAt52UQLODZICCIXm/BuUd8Sryzy2TJFum6fsDU376BXvU6oJ
gKVOOe9ToqT8FOGzG7dSvRol60HNiLsRNXgL6Byo10LimXSntO2vfiWfQBMbgLB0ObS52JDad4iw
ytn1QHFRgzh5Tc2mayAUDkVOUgojzbAqZ975w07SYi4CGFiM0wR7wbNfQDZ4gRs7xPqzgFTHfPO5
63/xMQH4OfRTzDdRx7uVmLxwHwfB+OpBzrpTZfUsrTI5Z2CIXgzQ9XgltzhOjT04gqGzaXuLivXB
LklZuBUoVlyhMNlex6rC/7rKpm7Fywy6H9QeW7sDrYhtrweICkEX1J3W3PS2wDL9EzpjtCfeeoCu
2hu6+7BfTWSfHGv2J4p7MjkaMDLAjlU12pOdTNT5X+1/zI/P+Kef5/f56ecMCNHxMbdiziZAVdvG
MlwbH8hflx5EtiPrbroiBe97rXykLorkW8O9MF0D2474T9OBZEQPmH34lEDoJfGgCpPgLf3vqa6W
j+nm4Qkofd0hh0K4VkOwS0d/imS1DCw/25CNtBM6MJ9eVGYueM/Ai42llNuRtUdq1JxxY8rP7IUj
/e7sgWX+Ka75+wKcVO9uM4xMuwVt2Z3BGuI+pb/cpnb412y/u9HwMozwL3bx6ecTDsZQYLppKwea
9Lz27mIZ23dAeyrUD+ODXpqnrAWzBXlKm7c71+U+uBIZDiXav5liUB2KBly35DMajrtoJNB0DDmW
2Uc/AezLzqcnmKvZPVPhdAJtxC1507RDgPcWn5NDphwOgwfUih0a+S6DDuazWSElEXphdKYmqP62
Td7GDwYU6R7yka9GXeOaZpyh6kmWC2pOk8V3IGM2595sEADCDEWxo16aUkBw40xNPeWYgZOPpixA
r5N1UXt2ohC0KEaAYIVYMoqb6ItscsDEIQd3olhKF1UTNPHiaENNKxXqyExoFvW1KB4j5I0e7GwO
pZBDU4Py+TpcytpcBl63tloOlcIoCe6GGqVqTKuFVqoH7YTXAmjc9WB/+LeH8ttjM2Cp/8MDyCmE
xXXK4y9zeDi/r4aYQx8ee5acrYHEQUjF5Tauk6bd7xNjQ0T6s23uD4QEyX7dgAXWKQxr69Q2shIM
rKaoCK5PHjWRMpmbhLAhTI1Qzmy6Ymo+BhFah7w+TNQi14+BDOUIJxGhlDph5U2XpUfID3oPgAZ7
Dx5jzyjjas4gifUgWV77a8S3hzV1tp4RnEeErFrdSaaiyC6llzGw0mJ0GjvJGiX1zYaG+6a0cBJt
vs2j9SBIaWwB749vyWT6PTZVIH7e0k8w9H53FNADXlAvzcGQgytM1t+RSVUGKoiUl+7oR4C6dn1w
mGsCAPLrJwKzD1S/jHuytGYO1afpW5jE/Z4CcBIEudup7qo5gKdi3l6w0N5RJ33IkI2F6Hsi7ugD
JtIWZR+/D5d5Va2Ey0DfXKT+PsY6AOyuv2+DOn90WFI85tgn8SEdbqKa4zPuMHvpMCF31AmE9LTj
IEpY0oCP4Xhf5SBxHb2175bJhfMHAk0wLEIrQHonsO+A7z6tkVRu1BB/Aw3uV7eDvg+IRoJ9LqDG
6GWZ9YaB1E8Dx8rwV04C0EyxMsyE7R0NwbeMetwhLW5p6IW8Q17YWYRVk218sBYoyCC9dmnMwXaa
IYOhM4utlnLRdiBr2Sf77/7IGZ5Z0Ihuj9LlARDWFEgFHfn7IwZYeXG15DESGteOT8HChiKBngKr
ZhHjHd73Jbg0VHgHFa/wzrWQZcH2ONj2kLG9A0cAYv4uSr+UH5zIg4WJdTt0X6fRcZJlFghX04f/
CD3lJktHswM3ekrypTloSqduoNmnn1D3DMHbDurdYY+iN32yw3vJhYxf1O6p2TBzJcAK+xTj5IFt
y7/daKnoHShoB3n7V7daz0ZA5g83fY6ZZyM7PdTobHl9KM3W9WBU7lMF4ASEybbtlKZH6IJlx9wy
7O0IFMKNUCVg7KXlP3QhQtc1c8ovLBZfYqGqH3UCvbvUG8SCD4BAN6L80QX1l9EQxZe8LhJI46Te
w8jwZa4Mkd1AoOL9KbU1fH6Ka8fJGnmwBvTHbzU331ljoDStjsBsEUfMJzO0IWdamb/ZaJCm4PAj
CxIbgb/OEHt7gEhMeXCQnYEwj2M/kC2Sr62y+3tlYTkIHMgONxO4sK7+kL4CpFGa2KU2VnM3X176
doJoaWnfOuPgHrjerLrAbmysdEyQxp7kDZLtA9Cuvxtn8Xgycu2ZrO3DIH3/nzI1TyZYTq43nmvN
luDXzW8+ZRKMz3Fbv9EemXbLtFEee4jNy9Dck10F/o3gPrAP2fSliyA7cA3vUhhY220GsXPbjTZU
eTCq5yqCUgWkIqxVjDwjJOeS6cJDaS7JwQme07a2l6JAsXojo2wpJzPaTLFjXwwgbueLFTBxCqS9
7vMQ4S3qIBcFuaVlgS/Zhmw96v9WphNHEKbr5E2vQBfSOumwKQuJv19dGghAyvGATeP4CvZcDxKV
jnHodJOxTR0M3ksF8pqj40O9T2jtaCufvGUnQeE/eUYBJqzqRzVy403f+Gn1fmOBHzeVEARxLGQX
Cyuznmu/bVeik/aNsqAtkDZxfkDCAIwO4RSsKwZVhMQKi2VWgXwn0kJ1hb7rfKC9AeRB27SQ9EsG
01r/Zx9ypEuSgO1EaO/rZHQn8q9F0QY4bvETHTn7Uky3zJhOJEOWJmy81X10wqS+huHTog+nH33/
2zjwoYDlfrDfGsgyLEB8JB4ED/3N6ANjo0BjeGZJEK+7WlrPpdF9zcsBauYxePCwq/sOume+GPQg
g/0aBPDtcEZBTwJmTcN8noZhHgRZ1XlQUyKgBbiJEfbpMa4dY5lNKlki5pQeo3AASTv1tGEyvt9S
15SaCKA4+XTgAxJohS6rLA0UgscWhNehBRafghAMGkYum3vDTqplWUnxNubqxnNQ67Xo1dde+u0P
lEz9FL7jP3sZBw+zP9g3qWem0H2S4oC/bHVOR87W0va9B5bIlziMtpPOH9FFlWMAbI1A3Ti1M450
ceoMB4syUJ98PrqFL8YDtVoTivPtGExbggSVA3TK+wYRvRkhpOFDoGT5u026YKAgUWpyJr/hYyyh
jmg+8vuP8zkN9uh+2p7Av4HyFNMzVtcIS2+bj2BJB+ZGB2kKG6DA0nFBVabR0fpCg0JoO62vtikJ
LpbxVuPYfYj9oMIp2TQG/A2j1dwcVO7ejCpPULkbBwgXgDgp1hfqAJNduOBOIbafvLFbXjVj1p+v
zo6nib3T6uGTG4Tc4/Xg5A24wF9AEBOcZVk5fNEiHrAPePhSMRZeRolzywrw+43LwUA2u6Dmalok
cWjg7TLmK+CJIGpwfT8NLKtAZr2mF1NLdnvs7EuRtflKaWfqCTNk4BamBEAwkbPzHy8/mj1n3ALZ
IsrSNduhq+kRI1agLpNuTSI+vHaRUVmJDVQfsBl6CGngffITvVWKFTk6sYXyIF55fM9sNdvmGfhY
7RrItNlikVc55CYsy76N06neOXGb7QvujDcThCChEZfUXwbIPXpGZPzwVb1zS+a9tV4+LGlQ7ib1
TmUWmEeCbrzhmHIelJvumd4IdtHuECNy50EhcG23QTKuGRT6FrmuVHB1pQJdqqFeImgVnLmtLOBq
9NEeXBsC9FcoPQAh47sfTk1gLpFVDbw5Qj6Lj8FmGast9NEgb4x0zg0ww8NNnqr6zFwo1EuWuxDf
AY+KGTfjoQzMO2q52kR34C3Jdp2ryxP0UJqEOgojSjdmBfidFzbF+yxBlrUr1iGSGlt+GK8LGwfN
IWUgJLw+Crkl/DRA0OxotmFMdmGSyIsEqcLa91W8pm9Uqb9WZlw8QMmNnajVhEF7LuoOvH/oo0tQ
m2rtAnGxTsrg3YbK1buwNPz5u4iq2uJcTfyG/OmrCPJ4uY6EqtfXiVQobzlki880D4LDoN8YvQRB
JlCqVJr/ykrjn1Il3q3TQ7xbhmCtJ7t0HW9pNRY7NlExPLFEbNvRt75kyoKSddGMW3JLkULPLBzs
m6lnh/807cSMauEq0HDRtHmoigMnWGBjdHyHqsFwnTtTuyEWMmomiK1/agrdJMoys6nD9bU3VAhK
mMXPCMvCUw9NoYNM8VtS0xaIlpeuj0IE3Zs4miNSVMAl6qaZAHsoNU0/NZEyiM9p1aZzMxqVeY4q
48c8EzIelyQqvlIrko5z6Vvz2Zum6aktZHtjQEeM+oTFxW2TBRfqG4BcvG1GDs4APBGMGvUdNli7
EAQrT7ExGcAUjRvqy3tm3bsgDKRxndM1D2MbL6mvmqL40c1/VvjkbVUCrHsXFv2DyosUtFxZf3Q1
uRNgw3yXMLuClg74omYXVNPU3HHuqJUUGQMGMLY21OwtYLiLNLhQiwYV2KAvECDoj9SkKT2/u/PS
5HHUtCdZ36T3ho7aFpWwt9hg9JC7EdV+QO3+hVyQlBEXaFDsrwPaXJpbFAIAQaEnoUuXx3KeJMrr
fs8BXV6AYSJAKrtyF0kdAM1c2baxYIYjILIlg5XdTeFtlZXhLaols10MeaOFST41Q5ldUXUX6qUL
OY+HIojc29kpbfByafAZmOdNAzAlmU4a7a6Drs8q9GOsBBS2QVo4KxRcAUMSRCY7OvjjfOwFchUD
rU3tT6v/EI/ZuvMQBK9ac5t0Wb9zUS30EAnnH5FM+ffCDJA58MqnHHRpf3NIG+8pGMtqdsDC2++q
EYcuPUOGw9K9Bx6ZRexC076woursZQZ/YXIzhXn8UtVDfRniCDhtbe4KJbYpgOMbJKP4y3XQexO7
9QSRrGkqj/PKOLAA35FYlCjvgzzSp0sXAvAm+hEqv+ho9NpKd5B59y448MR8CFZkCRjDPicty22Y
FVDDc+wAsq6ZXDuSJU8yx1YwbqP2nxKxKoPZ9k+JNFbljckXp0VQIwM+GyftDsdDbL8PVtWg2E4P
DyF2Mw+ffLN5QsqjXycZdvuNxkK4Gh8hGxvLpdddqOWZYFOY2lQurdECvkP3dr56740ilMvXTgnE
lB76MT7wh2JjBmAwjUFhjVgACuF7XaOScdCq4AvygLy9D64onAV6j5lvnXqk/hDcbivGg+lIAzM9
sKXilml4rLN4PHi6rKJu/eLi6DtqRm6I72nYn6zJBAVJr8DPWJfqRG7kMRlRuW07kMXuAT7qlr6T
18h4jsZcGxBmSbmILVPdWr1fXYB9MYBmRerUVVWJz2elxUl/jeBRGtyBEBAc5pn93ZO+PNLi1DVx
cIEM2rYVWOmXDYv6DZj0mtV1q6cHuCprj2RSoOnbmD4HSBrhUZm4w1uYVXsQ7xg/LMc6Qbh0+iLB
LLD0UO9/A94sY+d0Zr9DeSlQm3qQ56BuMTHr/TSI8mYK7WKRjoU4Z7oqNY0Bj1aQBJpbH3ZHOoVc
5So/FBxcileSGcBCoetjdB7YVc3iQB0ZPl7rMrOR42chlFw7czzXYEh76X5WyupeIjZE4MgFK1pQ
B/xFgv9rk1hq2JATWFvfxzC3tl+s73aU7VRdxHddzcUDyzmA8ZkJ+qomiR8yWTYnvHG+UOckRHUG
RfW5GNzsxMc0W0EZFwKLuhl0WAEXdEuX0EjwCtM945Cix4Nwpxbqcddk7J1vgMRld/bo1ZcM+NFF
2wfmq2gGY1XWrNhTM0XGAuqY6im19BEMONuFADPMa5jUA7AVpr/3hJ8cUXXqLrEdWnSplM9THomz
aYwBCHQBA4CQbLsySj86lLqp3aR2M6NanBGvhCZa1CAZBhTWClQ24kDNDzdLzwawGLjRCFQwNd9Q
2QGGrar8GriIqeuIeWI2Ckirzr8MQVGeUBHnrj48kJJACUCi1NLVHmELSnnygCZR+TWq3+cgDwOK
c+AiAkcyXkjmfYtk2nqqUQMylLV1j1J66z6TwaZBlPKGPPI44UAcBMMC0Snw7HqJOy3wthn35Gxz
FGbLsQHmCkNpRKPnRDiyWdulmvJl5RqboXe+MGhq7VPQMS1azQzjTGF1pCZEaviT08n3ZjSM8SZG
qfJqqKW7qwoIhtFZ3cVvvZOlild0kKdeatJp/epstyo8IqiTLCir1dotqIKTot/EjW8ApJx3B2lz
/2gCtTVnx9IQlFwDMqw0gOyUOmvGId6OwADNM10H/DknIkVQJVylAtselgHoJvI+vQ1SrGjD5N3V
YQETMATHgflvV1OfuJBEsHO1jNqsS5aeyOUqMdp0M7eraNKc5THfz20rxOJbl8WFpihzN70dhw7n
Qz0YeLt5/gwltiCpGw5ZfMwjlZ6w23m/TH4CsM+fbVFW/TFvjmSnEW0YcNComkQ1wy+eBptPfQjB
YA+1lDw02IJsju7Av79cFgBFra80IHSHMDrSqEDaiTh/mJzReRwkYDJjfNOBcu6RLNyY9qCP6G6l
NvXcrBdJ1XlH8iiQkVg1EkpojdG42FGhVFLW4JCioQJSsgcUYwULaqIk1rr8lyd5vO5uY0BcGmTh
gy5zUCk91fmx1Zd44Gh3o8iBGZryI91Rd2l3A8iJ+QDexo8xEblTP3lWUwU+nz9vqd9o+noNKa14
a2dRuiLd8H2uq8MqfE5WrDHVuQMA/+xkWbrKTMaPg1v+kGHaoTSje79Eid2dyOb64Ndz7OxInZP2
6MDWgDjahwv1DKigA6UzeNVy4+6appp6TxzNsf4iPyrLbaQZyERpKroYLSgqtRe1yJUGTqKdB84Z
rV9zXaf/fS6yfzzxOhf79USamRUFP6IWG69PvIzqFJW3hOD1P5o47rCnpMVr5dqL7cTnJvUiIS4y
1pxtx1Dngclwj6Xt0LIEiB2yzbc+ACr7xLIOZKNL4VaoZ9YXlBmApPRFtDhBgLdLeuOTAfi9nxgv
VVuX3wruv/j4IHwDFfR8AzzpfPNblxkO3jOkMg66u9Aj/8sU/+8+kABDlRf4u9dO5zinenDtBRE9
5CITmwY6tTM7BPeg7FJVpnNp8Ss/M/8xnhh/+dug0GfNzA7x70FDUvGXiNvxSRUovuxyY7ilSxt7
GbQyl1fLhEDcrRvrDXkqtOirqdksi8raWjHOqK6yxk9Ds25phHUZzlP2Frg6zEEHJfQTdEzvtg6F
tU1DEMGSzUaGctG0XgFq0KJa96ip34eezJ5HY9oWNQOoVdtNngZXu4rKd7sHxrZ9DXzds1PiDPlh
v/r/bi9r1K9R9mpOfOnsFSgvock8zsmyGrS1py5oHq/5s6xn9bZ3/GF5zZ8ppDARhY39zTUp1tnR
lyyyhyOZZrtYliEqyijnNhlhehK8erw+usMLZ1vXYlxep2nC/vPU1DFa2Tw1TWSCyvm2c9lyslAh
KN0JgcEMkJRLVrnu0mhkjjqAIbzMPXhDjXvUtTzl2kZ+DQuhoAgEyZZmmMfSBB+zKLD7oKBJT/px
wfZ0nulqus5Zx+kW6413pE7gwO4TJ+tOPcr4V0PuYcetNzLzzgMLXzXaSM1qkw+e6V2ZjaDq0k3a
rjhFhFybCtMj2VwfBAcAhd9Q5+ym53WRCt9cbQX7eZ3WGP3P09KgwEAwK1EyxTkK2yCatgejNXXS
pf2YNpQ4KowVdlVDazj7qsXOjvYzfgQcBDVpP0NN1+8VCpGQmrg2qRe1bPi+pCc/wqmnRwXxNhym
r0GLI1Hkmf0JhOLY41Hb00a6o0scFpCITZstDQ3Bso5lQw+h9nWGsATBP++b+z/s88yfHjJmQbzw
/EJtEOLo94MXPTC7N988CLEGoRN/z7ukXzZD4l8gAdyeQOOBcsKxDL5a9ZkcHKgSL0sPnPL1UFXn
AjoiK+pwtxwaU9+g7Fyv3FrF50BE+UVMwB4gtRV/d9ljX1nTV46i9BV0bAu9bQ63SBEj9iAh3Ik1
d3zLTVsu4pRHt0Xh2hfqwBEAtRW6w0CJ3dxRGeBfDhnqKIb64FkC1IqOhkANUt2TTbUOUHZjP97X
iAxueGSomzAT7MZqzDupN7UJUknUUq0hNgYY86EIjIKWyPPYAVGVPRW1XAtdqAl1Z+cA8vO5k/zJ
TpcRqaWDE7u7P+16WrBDG4fSanef/D/qZ9LJEEcU5MydfwxH9S7yx6aaf7xrvQ25ARJZHKcq216n
ZcDUnxNfLWtDDmfXRUJnACb/pg+xXKPQLL6XaQDYbwnFhqEJiqVlW9WLJxuU8akme/N9oACUKr4H
KciTCrf72dnFKk1zD/qh90gGJTilZHJZBTz8idQZYNxZ+m2I/0GNXv1kd924Fng1nmqzKI8Wsqub
ybexqQT5wCLK/fY7Z9HSmLL8Jzi4nztntF8CY0BwH5H3i2uY5r60Ubrv4Ux2lxR+v1Stab2Ndr9X
rpX9NL3p0I1B/QbQJgS6wH7odXIhVD89mKxItqFdp4fak+mN7YtoZQW9egOSfjtWafbDHMVrlyXj
c6+GEadPqzgFVmef8M0u117vlS9eh3CgduXttI89XxzrJnaWVZR0oMB25DH2remhldYDeDqcN2g0
Q80ptNsT9MOqe9C0fSM7fhlEZfpanQvQ1t01UgBIHfsrI0BxHQgwo4uRF/G5tgQO+5z33xpn7SZx
8R3gGshkaQcm3XGLGkqxTlha3KL4pbgtQxR4IeBQIV7v5LcWtNf8RZXjJ56yGzKhhstAZloFXCwG
o9xFRptslAZ94F9t3DE/ixcIG6sD1+ve3BGiWmAKy1tqCTcszzkT5+ugrMSqP4oYJJ4fExVIGK/w
ZUo2BkFEsKF+n5h8PGHJRe4334nsbdJ8nFXajcc2XxSOpnybid/mK/nQ5VO7GqLpKIF17Sz/AAmb
heOCxaPM+GXGLEyQxkBwINkQxiEqmDyjQOOZOsnkCuvMeP/uL4FwR5osco5G4ztLoqOwy+a1jG3r
niFodvqLva+Lz/aEta9OJt/9awCAlsRegc/NaxAm7H6IUE01R7KKsJfv/K5Igpw8F9yghEmgUrUc
/Att04J7IrRv8Ycpn3pIMu1alHBv2pFbrxNevFHniW9YwkCfIlPjNHbOdAOVah9EGShI1iOR0y2f
Bj1SlggMRW41jyQHJ0QRGI3kQFTcdAlEx71fI+mZpgeIIo10hG++SoCPyAE7PdReROs8aux7IMST
Df4ZwUmlMfiGIV6945JXyAsIDrXwzoQeNQe9Kmfpd0gXbcbKmyLUJIo1OLqs74mNykIgZpNnZzLV
KmCK3ZQqMrb91LcHt27HE/LsEB/3yvq+xmse5Xl98QXbiMcwBbh3Ie6nrgFjWOVVWlXE/iINs1j+
7WebOv6vny2qzE8/W2wYENnVtV9UuiUGmS8lF+1hLs7STQD62wOVfUlm3KOORO4rlaZqgcgqKOQo
XOc3Xr3mMRgDZqOLtO3aH4SxQBq7wKm19TYDxMyWYgjxVyejLGOs0ZFzmrSK16AvRWd6GxlB7Nyr
hi0fvOJgABJyVm43nOmOLl1SgqEsdN3VtaOuw2+xNMNF3njDhicR3/teJe79UZe0jaAqAfLkhBLP
6oU8Rpsz5Df5E6p/1BJ67NFhwKuEX9P6n2L88y05TXCiFICXxM5GDQLHfrDRjQjuOp6PGpQwW9ca
Viy5bBdWC2RgD1jQo+sAIm2n0yu5hSZoTp2qQgSux1kjjtv20mq3PkItnx7+N7cB3/xtASgiZKy8
7qnJ8y1KuZHXwzdvwxwxbXPdVFm1TKAb8pIWtXlImQvZcWMyv5jO8GNMAv8WiebhBmzaqFjX/twK
3KXsPGSu9LR5V2zJf0y892lLxI13U47KdlBrg2F34wMztkR2Md7T0ZaalZkk+/ngq3tRsRF/aiKW
Ge+T2kQmukZ1qU/A1Sh2+oVl9c46KALz5BDaFYtE725QnnH7/kSo0xyjFnGabGLtCUUmoJfIQVR9
gkBnyDZRhaLy0hvUhvrpYnjx18St2HYoWIcaFlziIurPpaxLlPJnDhhkfHdYkDEu5bsPd7tuWUmJ
7K/2po7OiwbwX0JpIa2QvIXWenfuVAgwIfSlQCoHiUaVAs2P1D1usfNqN2B8axc+QpPDgoyN7qE7
H0iZfVl7N1d7ZTFQf8y9HV9ZFYCGA3YGDpbxo6QvGr5C4tymNr5zdCv8h4pnCRTOEDenC3JUmUJI
91e7Bb9QAV5/snwaSe0pjS1oli9prusYCAkhFK8vLPf42h4yN7uAHqzdmOACv1RWyM9m92RpuBdd
yEx3k1B86Sb/Q9mXLcetK1v+yonz3IzmBJC80bcfap6lKkm25ReGbdkECc4z+fW9kNQWZW3ffaJf
EEQiiSqVOACZudYa0nWIlYqDPYjvnsYgWZKLJNvgpSX0e4S9nmcoQ/0JuxMBmj63SRcaVMkOnmro
KJCsTsGkwGHEfs5bk7UeSxvlu8qLOTaUzqthRz5ksln219k05dwnH+pmWcLs5TzCDSdbGRyCkmWH
hFGXhq9NhGhkCbw8+nHvFiAcCn5OtphGyJ2VTrZpE+0XRSDfBSllGELlR4A8vUY1+wl7x/fRzA/B
TTrZZcGTFmqfUAVtnU0N/ICdJQYoxQ/RuRjiFNxLjXYFCM1cFrUwEeOJgwUYI9OXPpBrFCmmqP0I
IVzDfPGziYrvWcDrL+WAvL3GhX7DgscF92Sl4/+YyT1eWi1YcEqg+R255ni54n5gKX6LqBtO06Fm
NdrBKLGmSmUBJJEaoYZ3qMwazKe2x26wDk2A9kCH8YzCyyvEOssHd8y9E8CC5ZLsWgPyxawUxZ30
rfHeYz3WL+oEAa4AZIwydrSBL350M8jpdnr6FGRjuejByHeiZui05KSrZrZRt+maaslic5ONKAjv
0upc8SB78lAFe6tcf6mbpUBdy6rkafzE+jp7QuQV5Y15cyPHIIsvqJJy76hXRuVLnxbDNAn06kCr
Ggvch2rOTG1o8SDq9tSNRzauUAtkb6lbuznSgwhwb6g7hH6F3Vjpriz1oeAKDffIblhLGkUmXjsU
GegtaNTlbXiua6xQaVTvzfIOIYMrDWLpGi5yNui7RNOsEWzLsgQgozzUWBwglJRI/4xryz/Tkdbl
X8CX3e1MI2Pjwiz8FgH4AUzwRoKNYQJlZnVETQBVgIMfopm7f/KbT6MzyIVOm7v//1PNH/lhqg/f
YP6MD3404FRds2+NB19AZFmDSki2oMO5AfEHW2VW3i8glBAf5wEnBCV9kSV/nUL9edhVM85dOvr4
AXGNjKThgOXwn6cRxdsXo0+hbzIZ508lIy8LO1tw27iOTYi9m/oS8ynUnVzokE7J8+gzlDeLvWaF
2X0NaUiGVNApVYyd1OQDQxWI5ufLwbRebR0dRXKjQdToPKg7ALXRTbUpGwmsxNu5dEYWoVqud8zz
bB91YLfHGE8i+tR5YAC9Tsc7eUldgZV5I1q+lnnoLadPfJsYUSoAt8Hh3dFnx02KXXJhRKtpKjpZ
NM+x04m7aaq4MfK1CLVicvE072KBhGgLhonmwBu9OUxHTty+Hv3BRi69azsxbmycR036djTbuJpm
npUGZlsBltBlZOOOB72bd8tbB9xUAkzq1PWZ9G6NCQntTpp3QnkUkFfbiZq1SxosbNe7ZYi3JEWn
n6eTugZKgQDxIPKFEtG0qdI717IuoEkpXvKRXTSu5y9241yEg4MUFtePqpMTxuBm8nR/75T9ExWk
Uxl6oGrREQmY7LOJPMieFOMdUOYLfcCGIGbRPQj07GsURs4FD6Q19ajRRrA5x1b90g6BRKavRkVe
7hXV0uU+WAycJDiWsa328wV/rt+OZGS82uiojW3+LMQQL/QscZ6n0WCrG96DbBp5ZYzJK3iv+amq
xyOZIA4hrzUK8e98PMugmtcHS3Jr26sAGdM9eVFTl9VOWll3pl4fRvJaptnnzEnBpKFmJlNfgbOC
a2awn21tZpVLN9LlllxoIG4SgC4ygHjIRnOKAnKiQW3L1fypgdNYW9mDgXqeL7Bic+8YPeq1DBdf
OMpG92jz+kqn0Z+EuogCMqf5u9mNAjS80fQV5j9BYkfZgf3rMptSv7zvPUec5m/WOH64MECTCEwq
fjDyrXjpLzSNO+/+qsL0UUZqgq6KXKjxRnCAVEZlTH8VTeq0HkT3kqRZzh+r16m70wrUrc9/aVu2
2kF3uy/zD4cAKXj/m3g/f7s+Zd5dFjzTXNP/0OtzFXUd7qbumNsHMGx0CkzT7R0TIglalvTfoqp+
NONEPkaQbDw4uo4KXWWHnp2lZfVlxDocxZ9utalBZbR3k9x+akB0R046N41lzfXyHFpMW2ksSxYN
BPge2t741NVDeu5Uj+feuEGtCJiTC894KHlf3rsgvapdaTyQqTVA7RUkQXgkW98G+S4JM305ncDM
4KE3Nn7TGGDiRIke1tVttKfJwYkrD4iKGAvq0gkeLhaNG/2VTO2IUGLct+WWJgfaJDlFVvqTBunr
aqFxRAo3uJs+vbY6VJuFfE2TuY7sLrqdX8ifGi+KvmXSMU7U67E83PqO2YJOBH/QqPXBFZUqKxok
UwaJzIVd+v2BunLMrZ0TIlhHLvQVOiDj9PGBDJoDjRevGPUdfQHQeuiHoOmxlcSeqgs/66HVXkfb
ae7zsXvxO8/7Amn3YQ1FwGEX9OiKRluBdAs1mpHnnfIygQIfENRfwFNogxI3qY95G6J0zbxO5hYK
fE1RgC8EMZrl644bFGq7qU5vrs2XSH0c2zRfvCvUs6IKYuKGddPwtfPA/0z560BPvzdVkz3mSLLt
mgoSP4jSeo/KgVLbWAN+t6uvGoKc3yOGAkjZ2b+kFd/V8WA+N1E9QA/UTK/cCtutW5j9wS+4RJxC
6mANtPtHOUAZN4VA5w91OjRK7V8hTncSBINxifob34pxacQ6IAkKRx66GpgtDAnwWSz6T9CoAJcz
7LNbp9DnsecgjYiA2uTGgb0nN6AjXmcblNs8Wxj98InoAJLHA2i+Ae/QFsnwkjgC1aWe+RmywwWK
Eo1kV/W1/FS09snJDfEdeJ54maM8+tI4pn7OjAGpNWsIv7+d2cUQo6AzMx6gbNuy9JUWRUgQBWn8
iY7SgMvpqPuD7U9+gW7oeG7m8bs8m8at4QhmsN27rN6UY2PDg8ZGvqf02jTqIEu2ZloBmMlbjo6c
aZa4qHZk76N4kY5I7F7yNs+3HPQDn80kn/iseOwaa2m55R5VSBDnjbOJzwpradijGgTapqd9Uv4u
4mRAqaFMgZGAuJl35lrVzi8F98CDXQj5P/S7ZdQs/LDxj56E7AhKZWR2SUaGhIvRrWgAecLsEkJD
0FpFY79CDZV/nN38gYnNEMTOsreB5uxQqHFskrZ9FJ2ZrsFS1m+m7ggiNpuX+Eqm0z42nTGCwDU+
0SA1nQPCMIC6rtSj2XppvM5mG93rbIGlBZu2SWtEvFxTLogzC/JDp841ygv1Kj2udpGXlEvqUoMg
L4g5g+piFx4KNpVHBQKxpa2kRMj2hzkmD3XC73P86VOsAtqveQvuSTHY+YMmjSNxM/hQJ91JYK3W
vbopoNEXqlh0d1dAtPvB7sajDvHXNR6OzlFUgVjW7mifKplZn3TQpU+0dU2aHcBCma8CVM19ITc/
LuyToQdb18xagOr5d7pjqgrCFQViFtda1+tjHbTuSg9k+L1JzllheV9bCdrVsR7Dg57E6YM6kcZL
mUFDx0S5kBVKvpcx5uGVyV8CBHyEqLvvyJZ2y9b2xL10DQNiriNYRq1shIiyfPVlUGRpIMeYrgwk
T1sw9IL7w9ZXPR1Z2Kp2aeMiXICjaVQdWeIbq3uouLuACakGpJhNsK1Q0LtltY2kbIMnUY1lBPj9
nXHr4TlzLRyk1hVf2vTPEPWwqjiCrvS/jEUbXaEspzS47pmns68xuHYhpth9NcdeXzYy6qClF3S7
mrfaTkem864DJHyJvNz4XPT9iTi0vRTsnWHWfdWLGHKQwF9oXZQ8poDeA7qNo6DMIRuKR/KjFjWv
tnmUjlJdr9ZdWoIZyMaDEhCN5EBf2edxfOJF+W36xupP4TnIvsgjEc0OigXRk5fkpyzTvMcIhE8H
PFHUXdgNX5U91vG2MIWwD9wBVcrv9hGJjEVmVMUOj7/+jAV/fx4Z76APbWdbaebhotB7iBDQiCPC
cVEXTGyzboCumQYdBNdTQS3VnW2OjIcdatvKa6uaCsT6yF7ARl0amG1Z5VSbwjfbJVW5Ub0b9sBX
x+b+nurbZrvmRONWR+3wIjYz4JtmZSvPKq/IrVXrtMHTI9AM8y6VTFuH6ijgw+sR2f40isJS0Oeg
VnIb4eo5uEgdbKrRyZ/KMn2xEGV8CYtqg0Bc99VIfLlC/dRwaVwXkT0jqzZp7PClmY7awncT4+QS
IwIFiqnPEJHDOic4kIkaR0WR6QhpCmi55iOEaFG8uomcBmhlBbijIi6ygQAA+jcWPyOQk1089fhN
G/PZhLLcLrIZHsm51su9rWt4SxQSGuhtFdgQ0zGiFx93hWty9i33RLQyGEsuntTdoxizat03aQOs
N/DiUPN8savk15C19aMrwnrr+1myDxIGpTQ1GXmMFhTXw4p9Q2g/WvnOmK4c3R12oBCkGnVqvDQt
1r7DzDV1O4D3bvzVwbbYlicJysWH+mFMfUD7ZZjskdMAwBAKD1cog7zaCues+dE+FXz9J80K38Kr
Vg2OKhXvpEJfoWSx0x4QXcOv0IVBviLsv0Tqaodcr4lXmFNeQaRYXgWCMZONujSA6vZ6Zy01BwQI
rd2aT4CBtwfbzBU3tYvwYQlpiLnLQaCI39U6R1aACmmXe0upGMYh1fqJV2Xw4LA6PrWD9JfE6M3/
sjeZFZ8yS2kuIQK/BpdvDFHCfIHb1vgOvo0GNf9mfO80fADXC/4RMQvbB90tQTikHrWDePVtBRiN
LbMRN2GAvLrxkcjC3nD8autQ5umb4TPkYl7tVIgBjszJTv5jGvnrQBuBMahrubO7UGyQ5EBezx3x
XESuHOw2AIXION4ZMqm/kIeoQ3sbQZxvgcVWspyo52tN77d/7BPxPPJlQMkw19uZHNRwgldQP6Of
tCnfd2kUEf9uT79/EXZ/G/1w7uzcqqkKV2u2YzAeugFJV0ihF8ceEYBNWhrWQ4qSMMgcp+NL5t/l
fef/tMbil8Vc96mJDewsg94/oQq8nM5pklxbpwOQSnS/6YNdbiNNZIg9qTVQoxY8nWpib7SWuv5t
xkzPuOocZBL7pIC4jw3kdceTCgLFQ/OKxJ79oMmAtXmbPNl6peM67Upw0yTWJmYoLg5lkZ8Bgk/X
KHsqPpWO8YOgjRr/gceWfJnP0cNRrDSfPTcc/0xCraHCuNjMXa/qiw3kkcUmdoLgxAZAr1j/marf
s6yFNJ3wh4tru93JbLCRCQvf+FbJycHqH/TeWCBbUKBCBLdEhhUmwsJ2fiIZmkR1merSqNUC20mj
2CuaTzT6p3MlF8hcJCkIVLX0gmUC1pUQoDWL3j0WjY6lprJ3JQdhwFA/F42bWb8a6bg36NGuwHAb
JFcRKABDE57A1M3sHykwxCvQath3Wg7Vv0Fz5FMQZ+UaSlLjGZCv+MBzybdjnln3VpSzZcu4eG7N
9JbEmf0LwH7UN3rNiyj+Ot0RDco3WmmCyB/vCvAjeAjFeMmJ1a2P6oH+E93+ZDftlG+dvJzUh7zB
TO6B7T6mKYSRZkGiJBf1ljUCZLgjBInmASO3Ifih3YPBBkxUOar2EVxZFCzsjtSth+y1S9BDvB3e
jw6/d2k00gEP+x/PzUbU6BRpsgK17YlVTrr31AIL1YhQZHOLRJypT41y8bMx3UfSCU8GFp/EZxA1
3U+fZeKed71900d5ITIEK+2sLcpGow15Dcn4Eyi94B5r28mLzOZgwauP4aVWrm9zgb9i8kqrnG8a
t7LWiFCiQLgv9c+hBW443Nf+NRUV+Ljx8D8DI4MclN8KBF066zyiVBziiJV1q7OqXmZG2n+JPOtb
6znyp1nUOF3loVhcYKukyxfuQWi1D5gOQbYA93RQgRulG5AmaY3w7Bvat1jz7WlB2UojOWWR+EbL
NNoguEC5LlyrlQdarHk2rkGA4fM1sXkRr1fT+/FZK/GqUMxfZK/7BtAOZbc7dzm7kh0ynTFeDF6x
AGHvuAVoJvnsQF48NVzxPfEBg3bAxXaJYtFdXACoUWpQi+8RpAGYDu4N0wn97e9nSiMc79PE+pxi
ZXMGBVN6xqo3PWMHEu1Yr31yrTA8WlG4CcykeIjjqL3n0kFBSwdl0B4xl2Xp6/qORrWW1acgcL9O
o/rAXyqAP45YHGHXwm0NkpeIkJEvNSCu27Au1e6oFxYeX/37X//7//6fH/1/BT+ze5SRBln6r7RJ
7rMwrav//jfX//2vfDLvX/7737bnWi5jNjgsmAf2Ec5djP/4dkMSHN7G/xI1+MagRmQ+2FVWPdTm
CgIEyUuU+gGwaUGB0K1n7yxPsSoASX+r5QAYbtM4L0idI32e/mi11bSPDTohj0CsbCWtsDrG2h1K
zVh84aNIti7xykEu1V6IoQi3k8qgDOvf+sARXwQKYeZlRiRZtEI2JoFACJiJqAmk/95GzkUSr3Rc
4wfIE6N6VjUsTfqzpZo+qstNhoceGJn+Go3L5gvI9JMda3Ws2FnCS9Qjue3kQueSM00ANQV98c8/
vW3+/afn3Oa4shhDDprbv//0oMfLtK5y+EPdhcMOSeAAVVPGuE5srXguJZImajnRjcBBF65d3pMH
B+YJUG0dZWJ/9ipTXzskwn03T6crmg2rbyBWrB0Yq8RzHJbmKrJkd3YgiXkscvBkDMhNfRpB+oyf
l78oV/BPo8Zbueo+lEaCeDjRbWaUw10jIutg2yaeuYA0OP/hunT57z+OozOT27g0IWzHTZNZ6sd7
d13WPMQ/BZDDH4ARrgwDaeRFo9Awo4LAcMMFDkZ1C+ZDMbKMxhV4WOFDwx8cI1dA8G5yJ6dezUGe
sztNSV2aEhzgd7FpgfMbAcFLaFu5uaj9GMjkI1nGzhouksxODom1oNP7RTxWhbmYx7GkbxaOEwNs
a4TDZRp+nQWFKhCKLSGOnAXridqemLCMKCuSFR1SU2mxD7jUmjpEfv/OeXYjniyhu95Ri9fvqLKm
Q7C9QtIOYtgb0sqq0nTY5OBH+aj/y5wg7Ce1LbdzTjnSR/t3Glt08qS25dWvM1DXy5l3+Oe7w7D+
dgVYwImr+8NFisvybPXkencFCAg3oHpVL19knY4gHXJyAADFoJ1jt7jH/q3dU28yOQZUHsq0GVaB
5SqlEuorbxqPJBC7nVPuh9TVzlYiWAserOzdNDRAviE3oTOcAQ/u5yXonLJRe2ZY6GSQUQoWIAka
agRgoF5335spSnP9PFjGdao/6GLs1ymYbJTaOeqlwrTYu1xYZ6khUmh0UflgJWDPGioRfFUzCrDV
qBltP5A31xLl1tZykJ50BdTrASgvehXwBZnJekTh6cGIuX9PHnHJu0scoTgZ2RNj0m4gKQenAmka
aFdBiMgsSCU2NSQcaGR2zMwmXllQLllisQHFXtD0TO9kFZIzu8ZchR7yLmR786j7Qq6M3r8RhSDD
+guZFehJzFCtEMFXUDdl0WqiJkT08rU/g6vIpiGNsZo37PNcSQodXiQMEGBCaRIWBWJNwOlGidTN
EOqcpexoFMH6g508aFCd6bzBs+mIMNqlOvNt2tlOZ5phP007w7k/fObbtJWX7f7D1W5bf3veeTr2
qbbH8ML1LPfD1Y6UbsS8vNa+y0quJ54aFOkWKwMsIBNFjaloa4isxsU74OJ+JUOYgtlrQZQ22AAV
KzkinExeZKOjMRz7S/vjHSvONNfv808fihTxLwePPNmD9y9RTevchG4X96TTTE2XPsyWwE3kfQ56
zsZEIS1k1kCICNY1DWq3FeRLtoEPSk9Q4kdH0I8WCxrtDcXTiRNspLmnE3hY4oQOIN6qSremwpZo
nmxWeENkO+qCX6JZQYwh2xHyRACFOI0ais95HiXUCo3qyvnDuVDYTJ8yYM734O3+5authlDyptRo
Qfsy5tLYU48GFRHYPjLLX4mqbwAGclz1nmnhL0lQ+rdBMGPVhhJQ6LaSKMIY2F0x6A0wgyxfs8oP
IPenYQUorC8oDF8FQQEmhR5UPXi2iIdWYc8NCbnioNbuyNSHYAQXeo7IA1ik92WDpANCtapALETI
T5HvFFjVTYLBOQuChcHHeD8P9NKzz4U2QgcCbrOdJmlqqOnNA2naouiIomChb4/HtizuoOzZ3Ywo
z+51bJiJzXBoUfrkGGzYEu2g32R3HMXAN2Aa/sN94HgfbgPDsHQb3AoogWSGZ31cEyHr65Z6Mfbf
oSdQIhmR9mB7g4AaO/fCumYsQamLU9u/rFZ4E7mJ4aQoD3BQ6TsqvhRq2vyRp2Nxo44Z4rqxHcff
UBfwXAZmU3al3sSgEvq/ZFw0R7OFRoFbADxM2lYDwqBZ12nAeEHpipkj7rTY9cRGtLFczn4WjXiN
vy48UHHGBwrHJB4UiWQeI85Ge//fu94AXErt5BvDMdnZirOHUpHzU5NLiCa2ZQ4taJh88EuuY8vB
1gzspg8gM+GzP5J31rIFXv5gR721oiNwz7uPxYD4icIHkt0epH0AiMp9RC3bR7vV6XgbRsjbdEh9
+Nv/8GhjagvxbovhGAZH8NnSuefals0+/k+RQ63qoeLZ92ro3BVEG8p9DZGuiPjmib2eeObpKJNp
tUdM4JJZesUO5Ky6Sedjje5Zt1iPnbOXhcku9zxxqLUuOSPKzdcO1vkPoHdBqWcYJt+cpEehCfal
UD4EFgBxiBdnGKJFCiypWbo5FJJRlR4hGLu2HbyQkPaGvDFVr6eIHnvIiDQoR16I1pThTzMN61UK
CDZ0c/7ij6MjSlEj/PvKIUc2lafWjT4A94NnQIncD8D91PI9yjt2xNVigW51NeQ22xOxS83dk296
+a2Jh+4W1f4Rj0D5KXfuHMgvn/BV5ImOqHHHElj5qAUlUhUbO7KVXlutTTPQt68MwnrxCPpKf6tB
cPLkq9C5puLsc5dsLsXU//Kd3NQJXMvXPiKb+yoPhuPcjG0+HJM42SVJbe4sK0CZ+Tw69R2o4Bjc
H/csAsn3yLtVk0Ifz1I9MtV46xx1RWuhTHjGvNrbTA8hq6ADWPhmI5euir4azVBtwUpWl98j0ESt
O7DOKblNbRHnQ/CcWCnCDzwcjtmQpJ+NMprsGWLy+0FEoOSUgXi2sipcJNzw7uwk5VfDrp+4sjPX
iTYSKprbVAMyNzMHgdCnD2wstIb7jj+kVhZCSWpDkjh2ZVCHYBQ2KAHVCHVi5QayldktCDdF5In1
P99Sls7+dkvh2eiYHGor2Cn9bdfeWx1YKtPR+g5W32rv2GDmoEZDKHqDeuJ6MdtsZPFaMFyXrz5p
HKMsGBvet7PI90OX/Jk+QAcxwZ/kFPWD0EDcFynROmoGpi9tGyuR2cQB01gMQCrtChM8qjQgLA4N
Pb1yl2SzOmmsGCI0oOUBxDgHDGVv9IX3CNVsSGRYYImjbj7a5U7WrsCqE6MoQLeORpYDd6G6jcuM
u1a3z9STyM08Bmw6kSwJbxVvm3MfeCFYSpL0mPAx2DV27y+IUZFYFj/Yptj7736zTWO1D80cpRz7
4bzGcocj65A2B7vPcyMT+QnKCdraMFFebA4g0uaj3q5iJgHUGIO9bjT85XdXiLY2R1u5Mgg9rMK+
77ZuKZyln7Xi4qqm0Fl2AncMWCtAzMVZkSDwrQaoj+jhBWt9e6+VJhjwyea1TFxKTdZLlJqnqK98
O68A4mgbu1p1KgT4e62x/jo6nv4p4lim2QkSOtQt8w4K8BLSqtStzDhcW27nbyfn2AcfOQrCj9QN
tALIFtHc8aA0PgkQNbkW+9n4SveBWexhYEWIEKnxhd5iZGK5d8T2JrxzMs85BdK+2VRpQetuML7q
CyAo+s28UJ8X9TRqgil282G5rgFeve8hGnvwRh9Pn7oZokMRAuLa68kiMiGKmQ/V0VJNkOTVkbpj
JjM87bzVbKIjciMP6lKj10519H2j2kKnIgTte+NuTR+wiiwLwy88yyDBMg7jWXaB/8kb7oTThl90
H4Rlo5+mS+qaXmKvHK4jk6dGszpFdZPh38A+9OxX/Js0BoQQOSq3PJElTyByQhkmaLbJHiq7aet/
tDtCh1SyKibvh8IHXwf0L6kLDgIQ6uYebGqAuh9szVjv8lHfa5VunX1dAPxgSn1B3bnx1OirC0sW
4KUPt9QNsPUdJu+yMKMzQEJ+XiDh50XFOuhtKPSOlnvusQtbBF1XPGMvOS5DgDCPbdT5T3nj42YP
i2dbgqY6MuMaKWU9fy5M+wyOnObBtYU3nT4qtw+nJyg+IzuWSvaahdEpRH4LAARW3ahBSXG0iACA
OVAXKwHjrhoN/B/gMaRODe5vrBLdJpCorn0KCc+GGBQ2BxXowPsQJB9t5Cb3ZGPciO5M0Ls1GWBv
s1vKvsgOO5+FyDUPPE+3Sc/NACJ1JU0r3DDFUKZ7BejKgdhW4m5+y+/++Q1hsA/BRbwbDNfjHkdo
j3GGXSXeIO+iJ06ipUWbtvnX3LfbZYL1F0piQkUwSjSj0zHRi7ZOri9NgQq9VwZScqChqSkZsvwd
MphA9oIZIknjNW2qQMpbbF1cm2vacvkZz7eZVsVr2pBxJN+m0ahNsquHW1VXmWeh1BXpCGV6T6XT
hPvZnqNOYfLo/hok/+ENPk5dT++g/FShzBpCjqkMn2TUI9eUjF9MI8Y9Bfw5Ihxgt/K6sV94ei8u
0usmNw1U4Oek18wlLXiwutA3PjNQzaBWQ2SbV0K0apq7s/OH5dSH7jwz3lPh4sOkZt+eaity7zxI
3ToqRZ2E3dXQZPfZLlmxtqMYEGsNBYMQwhNrDYxigByWF2iHDN8g3YxigDSog5uPd+nCAPPLnc2w
9u1M/YC3NlRPKoaSvwFqXNQlN9MLQPpttABd+QOyI2Gf3M/XMrK4T23e64fpYrZANrMD91wBTldc
7tTU6kjw7AnKOfphts++NOd006Aid5ovAgQfVOKiXGKTKm/gRzcgOwa8V+6x6EaNCWr4MbGHI/X8
znDvffmFOnSOcHxzb9Uo7p5tH+bpU9Rm/vMNxMyPSyyUIkBlhHmGYVoqCP0hOi97WUHjOcu/Ao6V
HGYyu76CvADwgt4K/CDAG33gtJuHaQDKL89VZedH2mjW3l3Dg/ZGHVlCCBZk22JLXQ0QUKhw97dp
kyul/rPIICXfAsK9GwwWLsGozbpV5DXByiqQye3Kge+KqPkcYuuDqkAwABDpLiM63ma0PrupHR1m
It5o0IyT7hdbYuAdoYG9iMFc2oAHOccTMIO27iL1PfvqinFNXwryyOBPRMIZomDYXPtZI1DcbC+J
qZQ8ShS1LjPQbKKeAmSmhcPdQ6cCPdQ1LEjpFBKggtgeQf9mA2+J1dKF58NwGQso/qni9m4dNFq9
FAAK8hUNVZr+1ctdezd4ASCx0NYEEDBtV0HfGzcUo7SrEcGdWwCewFWvjiJly8ABdNZo2e5Iw8M7
MjQOZizuSS5pFlQiOzZ996RyBBEN6DFH3tFF3u5+1NpnenRUWTBu2lxLtkbZBcemjvhepP61jvvq
XKrHdm2mci/AWrCguh1qtMS/QhyhOlNv9igVrSWd9TYHeYSglVtYuOMX83ORHnbEbFH7Lx/M1HVa
UBYgVEWd+ZFJj1Ea85uX+ZlKR4V9biu35BBjAeDPjSRQotg+Y9/o7jhAKmfdyJJN4MY94n0ixI8K
EHuD4rpFAn6ob0VS33ux7f/i9fc2HVCAoAGxk/HRfKlq4yvUPdPnQPJgmSLefYAQY7QCyNE5D2bk
nCOnds4hqyCRa8irK1NrXAllowHICqE0CFw3uqY24H0QLdPWRGX7W2iuT+NN5oFCPBBX5IztH28H
cRBNFmjvzEO14dxpApT0XI/dsyaqZlx0JUKLDdNKbEVgBBIVX6Ko/XyTdk54DSMGrhO9h3h2U0Pl
srJZsNJ06SnAb3XD06e8RsNdrEHw1xvZaX7+Ofg1NljvJcvp0dfCW7ja2jGiYN+FMn6E/xfDt5vv
TciTRWsg1g8W1QqgB/C2o6qz+Oqgxpc8sgakgnVZynOCFOsFqur5UoLPBLTaGV66rgdmCexcj6Vq
qDs3ZaFvOysW+9nUcNltURUfjp+Msmq2SO+sEXwTFzOMQMvqWNa9C303bKlGZ9s6NurUMzdqN6Lg
+pKGod8BpvFeRNh5gMYjLKKtG8agjgSFwzaKy/EA2GF6ioEG3TRGiYvHBoK3Yr7zuXDYj35k6c8c
1RaOh/KZxRgMwJmU/XephdCUBoBpNSAoDpxHVj5koAEH2yw0rSq3gA5QE66BQJAbGgT5NSR0NG9D
g2QKDEjR1AhI7qmr6XF3ZAHqgJNO1iBP7uKnOLLi81jk6SpnwOxvikpP1mGC5J+IkTvUbY6MIR2S
kRqphqcjHaIoAMci1Tj7UBePW7517V47SB+F14veLsODCKMvEHH17qBu74G5CUdg1tOWuswBkVDd
Tmb9zi8hZovdi7OUfojHyt80LwKoWS5ThHgKqNCOn0aUuuLCNaMbNYH21PiFf68h6HyrWdofjaH8
Oo9bpe2uu7w3V2Qz9eqbm/URFgpON/TbeAihtx3k32qku1ceN7NT2OnOxTCGbkn4iT945Kjc33S5
/cXC9uwWIP4JZIH5RL2IBe96agwrDWsaywxtPffU2MC5/JkgiHuMsya6b6phOd1vRYygP2CIbFqu
N2BKvkF+8OiDmBY3KaRileoYA6F7CYbyR1+r2ptupHvSKLNT1p8KKwYUR3lFeedso0LkaxqNI9DO
iCo3oIkBNlOaGspH8b1RIx/+tjlouzbbln70+g1AMpFsa0DiQJrqgoRzNG9N4gAB9P8o+67myG0u
yl/EKgDMr52zpJY0Ci+sGdvDBBIMYPz1e3gpf62RveNdl4tFRHJa3SRw7wn5AEO21kGmj8PD7UoH
pMsufaHstQ7qO5uUDqoa+WCgQhG8n5aVc6UcbLWFulq6CsIErzAHsp+gV+fQyobeDSSvursk2lPN
rfrWNZpkcKgBhrH91JUBXb1tC9O2dmAtiTVi5PXCdxz5Vx1vCGztZsBecUfrZ1v6bN3xZjz1ULo6
urBUho53JUh3dng3ZTxR8dtnFoJ/3Ibep3qrN5OzGtWPLMzMK14+SyZN/4kiLRDJWfqwQLxSKQnc
V94GwRyXEQiCLtumVAdqbEMN03CoIW2pGJuO3iaxC3DBNJszQOTfFYa7sL2g3rTwZkRI00eqMKjs
E7OQWQGSz1kQYge/vYeWp+GzZeIFVkC+dwNIeXkeJl8a7Ka3dWVApEmaGRS2ZPMYjBBhaaJh2CWx
017l6DUL6pKkiLbEWG3IzsBfpI30eRRZ+x8xcOtfFpMuc13umRa+Uib/shszgyEPuV/Id9hLLpwW
ap98MkdOtUgPRQ2gPzx29ZXqCrfmeOjLZktFahhNKA/+Oqo3+A5iZdp4tB3Qkcal1/tZCoHV2wlS
6+CZs1CsEY1CRtg1dX2kQ5DZ5UbZ7PtoGPUxD12Q9gRcvaE9iwN1oSLMIDCOTm+DP42hefqhevv9
4ptTbl8RWIlQSa5w8R4S3INgl+X4//i86orV0Fg1uzfR5tkmCzlkuKb1BJ8OdFZEEq/1mOlrFbsJ
8GtoiKdFRVfaaEAeoIbUiZksqBKinh6Enkz3lLYutkAqxGbU4XdfzlohIdgztcI25OPs/79fJwAk
smEjR3lKu829RWQhsEbbYiqGVpIeaQ9NxdTqk09Far11vo3VqvUWXzrfiiGgZHibGRBG6Ll78pRS
d96Q7rKJBEEHxOvNZeYDPIgALDgeo5/fOSAIWYKVPwA4MhaxneuHIWnFrkixiYw8K8W+wDThf9Q6
f6bBosZf+08nbcA0k31yKDgeySBYFMAYyvw1HPDIN6Keb6mY9+6TAZou2H5IxkXMvEC+KXuNpap3
0LvQ67mYjOPC6YIBrM12+AaGZJKN+Wsn8/xoWt70zcbUhs7ilfJYfaBWeA9AjyqvnuOY9dhO4A5o
MpbBGpLuYC5a/hO0HfKHxs/La93aF8ha22vYvsX7JpR8VfVQoMlkEdzHydAAqwy1Kfw43mJgZh9N
BgEMJ+bRpraT6t1zfxgaMlVfBgYNf/n999//AgZAnoyB8orfJ8KgODrT4+RT8KbDbXjQDc0fZ4aC
U9gwJVHWN9Cz1UNoDe0DfEqeCQsa17mxIbwnFade0KrKH4YiLHci8r+DANus8STIYRkJVCbyBcEK
gDT9KprqTNEHIIKvecLUi20UzRqvT3QdlHWs3fvIUNU9sogbqJXYj0o59mOpcTNtkgZHqqtFmG51
AfNbaqUBFdBGtqHhK55IQGmq2FrBZjxbgpmX7Ec3tx+dIIfeex/AMAhBjGpZB8j0RvoxTJn9+KWv
xe9rR+y9ju2+8Br4FBUSDbBHU2M5xY7GNoQ0cwfGF7D/7MSt+K+q87MnPR1AkywqO4H7IQoZXgSL
Frrrh8wv8ieB5evG4KNaUyuN7jo5j1ZwLr+byZZWIdhaWDqFdJes7+jQIiIMSCrXG2ooBYv+Aw5n
/ZoXtxnzOP63EYnAqtx1v8LhAKsUA3y0wkcb+NyFWeFL33F4y5PIelx+434tvhMC3TLa/hTaQX8x
Ih/4dKOKFk6SntuwKRFjKQokJ6GZdgwT7+/Timr11CGGAtoSioPJijrRIGqg4v+1bp4sZGmwrWsP
sfDB9OTO7UaOVbaH1cZ0ZvWpWS7yeJiiA6xkO8tL9rfmf/SZK6yq+a+38a+Y1+nDhPudYzHH8wVc
OP0vb+M0qhjChCy4uojWvAGn5C+4LZt7LNd9KF5mfN1KbGgVs9cE9KceVRVBoryzOth7w3UbGgqF
B+OFttjVIFljS3CuJmjppwMUls9tI9UZHaiaewyMOx7hdR+O+bJKObytBcseuJ8ikTAx0KiBZcZH
A6jpCB96wfBuWE2+TIoCRl6BLx8ciPz8x0PH/SWnOH0qWJww2+UCfuPYdn35VAAnt8JcS+fKVJme
TQfoLgSSUixgXZj2UagkdLCx74uHGJG5FeXr6XDziqciN0q4AnjaWVFD4A4QAesdvaqrxDhiEVsv
SQdN2fAm6gpITNiTXFoSbt2mcF9uvWoH0lwuK0ENn3hxRZDAESg2wh0Vm6mu8yDPHA3mP+qoXzHx
7ObOUz+qGxAGOYaW8UbgioUbjtYjHsPAWQiEHrTtlHtqicux2gdVFy+p9VNv36qxyi4s/xQ1YvoK
DO/4OhWbRNTjLre7Ajx4ASWM3sEzAozKNWTXPOcdSGwokdreoq39/pHe/gVcGKBbAZrIhHea2rqh
GB6lBiexjddRmCMW0fFg31VJcWl0rK/RCHyAl7mvMm/0laoUcLsrCQI34H7oQQ1cQj+a8e+//44I
+x8/HR+vXB/rWNe3LVCQvsDUBp8B6zuYeJtHCGwDl/SS1FX8I++guBb0DgNCqoqhTQb1Q5iLRj+w
ml1A3CR4K8Cp36SG2+6Rnomffh3pVy0De2M4+ZmB2NO0i3MAlwQhD17dVPTicR0VzfjYRi4slcJ8
E8MG+aVQhjrDIxs6e1MR9Aq989zJ4msqZhWcl0vP7ndUhMryx5RURDRiHUNna+2Z+JaTHHIciHod
j47+5DsBqwzAwqtqVk0GpHfcSws637PvhJ3BRSevbD77TmRFpe4C0/7kO1GEfb1uuqyZL0HXGaBK
DNFLkbpvQrjNg4Nt8l3aQvy/h4Lxm9mIcekwlp0gz+I+8bDcB1HB3wqz0Bs8SYMtdUuSApaNIPp3
2oPYE/aBoARjuGPp77dpzXAE/XUaTtMWjQrBQy5OdWONEM1Tw3oo2+gpjJUFoBWoipVb7wFRBXKm
NxClQFbzT2DH80U2lsFz2o5iFRi9vMshjLdrVCv2NJONROunmTqWhVe/6OHMAOhUG/RLEZQmmLnA
Vt2AU3alh3WNhNgSILYP0BUNoH49RpmMmfMcXrxtyry+80LQx3Kryd5TyPgMXAV/6UQf7X7036Dg
5iwTd4ggHhs6O1dXfNfHYCsjxm/iDrzs3YvrQx3kzwDUpncMj8OHAawQhFpCpP9U+1R0IryAKKie
VDbWSFYU7ZaKDrZk+7qFaiYVubLM+7pmm6Qx1QOwBnylAE26ilLJO1a6Wz707pWq+jjQq0AE48ac
6oRVIthezN0DLHMvokAkY2KqVkzfRaZ09sSWi0geYKrTvYsoeMvghoHFkgffyjcj5w9xZYPRqOq9
GVTlT+Rqv5vJ6EHwvw6W4ChZ9yU3660lawNiSCO8aiBhvyniRl3/bR6Z7vusKLdga7Xrsg3CYx4X
VwpNUNCBwg+5odpFVMscPykELuhgd3zu64x4SnlxCUGSfnjFBmQ1Dmp4TlKo03qlw0E0B10Jq1tr
1XYKL9LJ2dWWxQqqyv2hmxF/Xdul5xoo+GXNmf/gR060Nb0iPqaZGk6pACYPGDb30RFgSTsq8n5A
UHoNkIr1M2z8Y6tBR6fh0EJB/jWM4i3UnMbN75+E5te3JVYNFgMwB9lVzjmeKb8u0ZESKbXojfbS
DRz80i4At54yPvDau/ejhu8A1QQdjOrautxHun0atVNuoBdg7B234A9Jm2M9MKG9Fb6VUNayXm49
IGAaQqUjiHc3/EMDh2mQP1r/KzBa1tcWxNSwroFxmNYRJqQXlw1gf5cm0uKeGhjo3/e//xj413Xp
9DHYDOuG6T/HIXrRp52K2yOYJDzWXD4EPV1/ktHHT54J5cDBEByoGR15+9HL0FwholR+fRjQiEJC
4ZR+/VEBM0/IBCTL39+yxb+scxCF4Z6Hv5yHh4f1D9oNZPY5z9s4ucwL+jFwq6Uewvi94ks5MZJh
NZYizB+w7d/V9I6vOHSk/lkdwrR2rmZmE79b3fLWu060u7LjModB3bokUqfrx88CpA+JgP4Q1XBN
B997lac8uhph+XE2THVdA41bhI2s1TCd3frlSuX/wUXipmX+GqOybSY8F+tiU4AlZXneVyYYY2Wu
3Diqt7IBWLTpM7GE2g5UoDo7fI0zHzaSgE57bgW1cQuZEqoPodCwAZgAIg5xHr36TMkFkOzOBWSF
4TmDtgB1y5WdH8MI1CUqIvTUrOqkYzBGjbHo6nVxAOv8BwSLkp9ZccHaAw+2HBQLFyztN6iEFUuw
65qrFQAUkrGyPGnZugcIMXRbXVnjvYJb+gpPBPEyzdPqIP45jh/zCAM5DAeE/KK48DDCcwgurO0F
YpVnL0wV0oRgZ00UqwYubmFzHo3nqmuaC/WiaioOTTnu4CDwneqpihrpMLQlwCtYPS7nK1BlPU1Z
875dNHkebqnu08U8V2+BTqqPn+oyxLtOmpUruyvdj5uiS9kQUN4KWWXzjc511MewK7Vqbdli3/vP
u666FlsLUGy2eGGX+5DV96aE+vImsTg0zj0JvGOKTMcpKQQorykPYDXZGO2RyspT4VKHPMYiaVhL
QJPUshzTYQkTcjyYHJ09uk3knkcruHOsCKWpqpEgZdWa2fvYtzNwoEPraFjZz1uPzmY/YSTv4glh
ISA6jQSZ3d1rt4L0xTSHPx0kUAqN09hn6mHJMt2BXwoS59RIdWZqrREBie7nK2X+sMmGYQSmZ5oj
xsIpGZM7t9rGdQq3xalW1F6+5j531/MMKigfTLCHbpO6fESsKbaKLc1qjUVwiWV48Gxg8JaQ1E6W
fhEMO0C7aZAOA+vU6+yFulNVD2mMhYYZLbBGuGaASNrB4JM22lSkQxnCk0Y64kSjQi80dlWBvwnd
FdWZApKe0Iu4UP/YimFwE/AIeRvMMfTB+wRoPXnwV7yrygl2agFBNx3MEXZyIzf9tXbsKF/2BvI/
MVRHqQt0OkzERifslRBqLRJLb/0Wjty1/C47KTf9aMV7yxDFNzkGeI+58jtUxOqVo5U4ml3bX422
/cHLIP0ObSG8kXLNL17op3dY5CCdODXkTv+zLV3jIQ5UehprLVd0AbBLj+CvvEI3Y7jA7rLZu4hW
rukiMnhScFqAg3Evt7Lo/G0NutMreFdL8MCCjZA15Nl9UKENfeySEvzdBjGlJZ4uyZ6nLoNPAT4y
BLCAHOxjVi4DPMQCHuYP1MqduF052EBuqRgZPjSBlHyfp6rwHS6x1b94fsMeBcN+KhCIB1GxzCt2
B1nw3dxX9/A4KBEtAqHO/INmcwvX2PpWZy+xmeOPwgCvOwNmdbqtuQa48mUG1aj5Vj1D5wcsfdnC
nLqYEst0GPFAehfx/x5hvY97nkJrCQjvW7qPRjHrZFr5xz13jncHSb58vufp67CBP4ha01WlDRXI
0XWhRjFdYDrQfVui6+b7+t0906C+Nv5xz2FaMXhhquhO5/2mM1J721T+vgC/HTrOTQFxFAOEkQWd
DrKpIP0GXnERu/YOtCC0eIaC4ncu+XIuGxpwucT2QOkaJ22VaY4OqoSbIPZeUjMqPiZjsOiNTtQ8
1xatYAvgboPcSFdALYAYnz4mdYlkdAWnRDg2yEdQ8eRjmb14+D49UAcIb5hrBjniNRULloorBlNH
GpLJwVt1UZdvqK4GiQ+IqaWtzWGvWrn8GIZ560hD26Yp4V0vWvnIQlvfDdzZ3npk5dDgn9moHc0F
iKUP9AggDsuyKIAOxg3T0Crs3QVkQeo91eU9606DlbyN5djsPbOUKwQIk62le/vA0jw7h32FBV+/
CnJkwFNVPY8szxYyKoa/onEjc7f+OcjxD2zExDdPgaCbVEEOXUWYR461hf2J0OFDH8CLCXCL7B3J
GOgtYBAS71gwa/E9sU2wH/WYXenK/aDsQ5IAdw97zW3hObDoEqN71En0l9mJElIDBgxiHc8+I3ge
bqwi5FCkDuzVkJb+kgWe92zU69KCuY2EUsl3L2QX2NBPEgLY/Hs9PuQEYhtRLNSfRhP+UbLWeXV6
li6tbggea3i8At8EdwfPHD+uDSeM4vDlunETeg/QFIX0dBR136C0B5MADlWOX67XlTE0sVVdbPyh
4BvIv5qbCj46q0AGkI9rOdZtQ8u/Q9x6EbSifvNr2FVEcF7cMWyJv/mWcyizadbK50tvVM3Z7Ft+
l8cp+NA0EiGtICqHx8DnxcG1UmyqpgFZvh1F4r1DnlVuuO7q/UR6ehp9557awZRDaJCX3SUCIOUC
hfBsOQ/0wwds6twn/Oz0vmdRuilFFbwH1WYeaHrtWjQjsq0MgZIuql7nG4Hy3MIARO4uxbryLJAG
WKrpTiD+c1Bxk38bvWjYCdgpbDLdNG8ALCyog2FC49pQPJvQwuXV95IQqASMrG0YINRYNdyH0BE5
OS2TK2ow7Hrj46n50iDYuPVg97uN0t54URb+8tNI2ESWqzHyJGQQoJrjGG05f1xIMgGagGXf1TG8
5hggKTFPWSVQzUE84k2PTrjtx6LaOZ03fBuV2NO/L83gTQJCXwaYveFDxioRixGvpGfkPJ7LocsX
sVdmOxWmGkF6Eo/AwdYQoA8iB/T/yUyJGnjoPhq9J/bT27QyEvtaTAdPYm1XmgnQDNPLNQau/lp4
f0ROX88v1CKLxy3AxeaSBlGvFgp4A5aTZyo5feMfem+CYSgltljm8gNUiBculGWepWUYD2lYHHnQ
hi+9q/DhQDB9DmlVFYdUEAPAj1qdLJQrAxkgwAQQ4WohPikLj12oNM0ooETynE8ztiOC/FMnu8R1
/zZckFG6tiCsegL20Ts1dovVaVv2Yte5zZ2YGqrAgxDzp2ajL3Z46DtgTCZgkkDbCHwlW/x9OkRA
C+mx/zPk750VJrugaTPEUnwzBdg90kuk881tCd5fujRCuRWtZ15qaLZex4pFIGOzu4/OuYG8Ud9k
q7ksEHZaiLLUe/ADMFmdP4YOSx5k7MtrZ9uIG0f+X40j0SYaL1sLXeNrRhcCAPuPptAcABTQSqAZ
CJaccpIXGRrOOjN84DCmYtkFNr4FaXGiYm+KHXScsIpSwURaBcRtyNOXMAIiyywYFDk9lr54kEDa
Viz4aE1kn67gejbsqbVl7ndLRdUdDTXC9WgyqH7KsrgHVeGZrpPlVnmgm8qm+WPb+vebotYMQSy6
KQMuuVgspCWwcROta2J0EbqEijlEJBYBdjIz4oTqZiuOT+pqoREgTjt1cgmmcpto7kRzxlMnO8sm
gFy4HsZ+CWmf5BFaKuMziEdrwKuaK5VYp7BEi+0HKnnc3JsjS+cSiFknM1TdPbUFgL7C8867oxKY
ao8gKKq5BGWyl6Z3+YXa8jD7wSM7vrgjhGRZAIYr3Kq783wJVskFfhvBiVphUlwtcn+AqMp0cyCm
wveDS+9IrTne84BaWQj3U6tjB/hNSfcAhD97doBJW2bsrJ0q3SPDop5Gx022qcH4ioqhZPrsVcGr
C2YZvsVlugiHgMHAD32ZxqWUWfuHvDbUU5+2apMniPRSaxeY2ake8ESbx2p4DXnyiboCL5cuEO/F
wn2aKGq6dm3agDhSqw8XkwOYmLLq6os0rWgl04yvABKvL3apEPJqptMk8toFKJvBZq4sIx9NZc3v
k6y19iLMB2tFczCIqWRIulddtAfMDyaTaZA/cr/LLmUcXZjBDQXBtREbNm66e2q141ofgwHIoSAr
1SPVATL1bgMOfKKq2O+CHW2EACnGBAOH8qdQNZ6+mL3nkB8KorFBXANFGiGKTZS27Eo1PMJab7Bl
uqG2aEi7+6Yd5u7Uo+tdfO0KO91R0UP07Jyo9jq6/TvspvSJqjVABAt8QdsDFcO6tKDWC8lNKtKh
q8STqaU805X8ERKlgKJqyP7izujA7FUPgU58UeR9Z/VsbbKmXeNJU25yrdwVDWwBZrt2f83/2hoY
0NUAjg2krTDLmJjiLpXJVoBmNf9r7Rz5PcFG8XH7XmhhD2S/gNEeAps4OvC0CJeEriScZQr2FSD/
3uFWRWdp726Ag+3PVJqruhZm8UXfbyFK/4HirNPYBFdmaJdwC9lHRe+upQWtUGKl3LCqQe1dWZwH
HzD/rPbUru/zj36m33SbxnWbtR8V8apLQ35GWlSfoaaVrdJeRn8Ee4pW3tqZ1f62ncbj1Zxh8yfV
BskSd1Ui0wA4NfwtiCd5K5IR1a1IlEo1dYbUNzpj+f18a6WxNaTNVhX4HXsPiZC72uQ/KbPoeBFs
DqvK2VJmEau281BJ/6qxCqVeQeI+Dx08v8Os8zckvQVN8ee2ifWDb/nlgzTlNwJUFEnobdwC2iMN
Xp3I7C0GYFUWEOpXoCghBE5eddKoslOEbUuaxgAe3rrEE2Yv7aNyBTupfj10CsxL18/v4R2a7Elk
aK4jqSGn16AE+FXU7Iu+As4AnIxt6zAPHxrMyKPRguxdDvFZeGeaz9Saur2/LDyxkOCbbfoQcbrC
6OBIy4Vi5yj11xxJlntzOgxwkLkHh+3HIKr0QCWq9xrxMZTq6MAcowdHOXYBaIRfeAyD9+MAkP2T
nTb1WpdRvemmomVwd+8kYbykVmUlwL1WFsRW0EhVBQiNvsn4A5UCmHEu/CFTx6QOP88GjGkcVs4D
Ad6M9NyIHKSYCSXXZcjE+oFmn1ByTmjkyzHuEBD6H3LOT8+6agTA2dnlNtAZeragIh1uA83cRnYV
g6Cp3CFMMX5ciQYkWR7slPA8ecmxTsg7QCYNK3R3hpGLYx50zj/OsMIHmT+AgpJG9AiRNEQpJiVP
UPi7srVPVGp6wz5G3PxOJTpANnNYJiw3t2bWwey+9cJri3jqNJimCWJtTL/ueAWNCTjXTzPqyLZP
kCaIrk4ErI3MT8AsfxP0T0pgDb+yIseDjTA+PjokVXWUpmmcqQQePtx2Ov6NSpXbtadKeeNWQnLh
FIcRnw/gRn+c2bHfbHVavlEPycuPeioOUi5tq0jOwrc0bJyRfhhB4V74cJy/dKX079jUkE0NyoIg
HEyVYXWhOsCkAZqZR0Ax/udYCEje2nLfTnlsk4/WgwUH2VHU12zKdrt4tO/qAmEU6kB13WSoZUBP
bh5UK8N6cP1N7p4du186qYhPsJqyLnTo/B4SKmMCretqwE1PDZE3iQUOU4sFDfDeREiN+lErBLqe
2jzAX3uS+s19ZxHajnckczqf2/gxUwOVp1YjCP+Abho8LCKIfOR+Jx5vZ6ExRKtiqjNCtFqp/7n1
1q9X9gnQzh/RRJJEcLZfdPjzX5C+E9cSSS2qrwwFijF2sDvQFsq3CNukrC+cb22DBQ+QodhyT/W3
4XnRwswD8ob3WgApOGZB+IKNhIclEs6qqY7OqI5aqV/XVtHXVs/vPsaqKqiWfheJrTGaEJrWEYzG
oqo/AMewpqpbPZ0pR4fnxrPqrW+n45Mlg7NRlP2f0wlkxzo6icqPGrcyYQFJKvcB/hJN0kQHo+L3
MsAeIqa/HJ3W/lguCm/oECDB39SZDtRgjgIsl79HePiXXmY5XdfxK0AFwAIRqtfbziv5E/6UxraT
Yb6ioqyh1mcjbLOgYt2n2KZhpRBWsWiWpiE2XZckgKBgqA+g3KLEL+9oaJM/0cRVUiKwOhUjBxP7
OWLtASK88NoevHsbAjFFJPoLSeqQ3A4D6aSFcjAyooG2zBe47sEWNM2KJfel9WI4OaK14HVCK7o0
X6qifhtsU96HiH8+/csggw9slSvhnPNmZYBGmGKtBAkagPfwi1nFdNKNK7yxnJ1jOvYmM0S+HaCT
iPg4UPxUNGsLO6vp5UtFrf1yOWZR+TAM0gK7yjeWRDNkrFEAe9vZCSGX9gXQptyyhlfqFRWAa1aF
37/6HoyvYZqWnczWoF40+N96mQb0VHPuRIiGpO2LBSmvaYZCNx+XpeKXy6JXLTu1KY2OrwYhwBz4
3yEx4alYMJCS/q7OON7jC0B7QCuwixM1gJifX2Ag0ZxY0TaveYbfMt4zzzGgUbtsKO1NajH7tQV5
T07Ql8QFZycstHdKXDgP963lLmZMDEYGVZI+y1J/jOQATNNI6iD/N7IUmTmPJNBMKfXDoPQuDpLy
+0SMgOnbT5DHEH0pWufZhtPNWrVdfK5KIz1WRi82IACrR0RakNtyW+uPZmwWNCpVw1sTjfGLRjB+
BXAS9AKsoDhwG/E7CMmn16QGjT/MZPkjhjoLYvfxzzQAFt0o6tcx9kv4HtXRHSxX271XqTcs+rNV
2VuIRYHvB8+0wXvHghPQzCb+yW1+SpNKvOUZn7QL7Bgsi0DsPC91dsrkSBLFiAXaouvfLEedgdJL
XrgRvDV4ITTc9i9BydVTCxnOZTGk0FH2FfZaSFXt8LYYl4UVFU/d0LE7DXoXfnfqiXrYvbcLx0He
U5VT+fUy8bxoT/3HsLW3ZcbliloRxNcXWAw+0KWoyov6la1F80AlHZk+NHtZeKC547gyNo5K4CIz
3YwTmgpYyuKd+vYqqy5ZbMM1ASR7sHni7Amhq0src/VuxoDaWpCNOlSeB4jmCGHUmqv3IRjgiNtY
+FIUOXst2A/qbnBAXHoPC3sqwtvEVbp7U2ZT7uSI9RZVD61caSvJoEeaib0SUbmmSVvDPij8GCF8
pCFrbVp7QJHSa6osdxlbwAjXbtumS9UGeBWWeFcjmnwtNMAq0dBCKDnv0iWUG5qd13YGEqRT+f9x
8DzVdLV/nYCHrV4kWsHBaHI90XDHEK3/nMCs79zwwl5QfQ4S2qoIO3PuVuX9p27ak5+7OVgs7RnW
yechNrHeWCCJ+Gecan9Ru7w5NXq0XsD5RmSgjr8x5kd3jlNGi3F6iGJ90G596JuuqeiUtr1IESg4
UTEwn9vQ0d8i8KgufRamSGNistaxIcjfwCY0aRdONjR/wBFixUSO4ASoO8eE+/67ZbrJsmkNdi0c
t930qTaOgQ9dDxgkeBszLgxQCGGaGMEn4d1um4ug8WMKK7Uurv4sctDNeld3cDmu4nUR+PnFLYZm
Dyt48FaCWt9lgwFn7jQKviFB9FeWtNHPkO1sYeI+Si6ePen1r+702zMmoeYkKfkWAPPmoKMxOtdt
bq9j+Oc+selBgTRm/8NwavjBIyZmhX67S00W7AYDSmy6FuYzRI+8XVEiCEHFAcikHbQMk7loiMDc
Cb9O52IX4lea5QZUWFViPUvWI1tu5jneryhqO+lRdNTc2UW6elc6STm3OlWody4iQvPYSLlY58lI
z62Fg+xJPfBmHguJ3GwXWKDr0MyZDTH2xmNgFk/37PtFvAu5McytclLdClvO5tZRJsEWKXZwjqa7
qlwkQuLSNOdWm/tw2BPKnotRzMwt0/AippnxbuPbsalh/TGNzftu3Ao78OdW3op+CxE6yB0P9b72
Cr0D6eeZ677vF2Wb1Wc64M/7cZaYd2499qevPahbFGlEw20lt1Ssi5ot88iWK9UH/l1mCVBYRw24
ShHcgfIPelCE5OamDGEgTJXUjw6hSn64MQCKVKJGx4CHa5N1m2Qaf+uaSMSiwJfD9mW6zO2gBXsS
uewOt7nrMTaOXmQfaijHgVIzDQgS6NaX8Jta0cQ8w8MHlBIIksOp4Hi7WKB0fCwNdZ9iQ/7pMmAC
1DAKy5M19b1dzBXpHuS/4nSrb0IjO8D//Rtd+TZ3nAtvicAYn+dwHwOXQ24dYoHzwYit5hT5UXoa
JmXmv6uljGy9oLIo2O3URipN4cULyUYjWzEALE7zKXXVhTQWka79ueU302kZQyQmRGphuuQwzeOE
DXZFVLYGw4NNjw+V0MTD2gxe0n7H/X0Z4ltORcdOXeybInWGZEH4rYK8DtXz3jP3ZcWwjO2G8ZXX
kFN2aqBmAZa1njNEA6g+zfx+P0ZQiJsnF8CWjMjCLRADwYKWIxVAh0In/qmaDlTUGjwxFkAoluq6
skSSGjl+UAgEsxCZ+pvdncp61fjmeMRL2EJsbGpwArddI/CF9wpRvontTS0cYmrUO/ofC/w2lR/w
j2E0YB5bhfYBYpK9/AGm6HYYhHECpEF6VgY1WBwGK4bp23SgM6qLkTBaAQ8LWbtfGyK8kj8NSwyo
37FCHb7U0yQ0FGnyYFNhuTxf8d8uRmN55f9AAHGKzCH0K0Fp2rBJLo7EeW9avbOArwQ7Ye+EbF1B
2gZRzKkj9enMkC2Zb3RbUbvJwob0w6MhqnDvFpncdlEov8VB+kDMhLEOEnwt9OcePjDNv+8RGKVe
DaOGxbIPF16/0Qhe6TA/CeauLTOx9rcqVyYwGLmVbyMqkTY7E6RLsCyyE9XPnd2Buas2K9nSbhp9
PxR4Q4Puh1gjYic+0n2Vu1NwgliUg63v58oih76bgGgQ1ampoa4gN4U9NlvRNHMDd8GEhFrW+qbc
3BsDW0oZNMtb3Sz5TOWvutBftaQ/tVP/uv4/lJ3XcqzItq6fiAi8uYXyJZW8ptQ3xHRN4iET//Tn
g9lra0XHPifi3BCkAZWoIs0Yv8FP5l+3+/eNtvL/W0V6k5veRKV565jYt0v8qp2i4YAYMSAeMi5T
iMAeUoSzUZLZqVv92kJx0C1BcWvpY2X2u6STyLXxLR+2Sle6FmGR2cp2ucQ/2BrVcwsTMpRm6p39
ICdcMsr8yfQ/tratBuBihlhgUEVfda6T2vhCQ8oyckc+C7ACz/Xz1n07QMtl2a773p+/sdXZQs8w
3hHqZNb+eDJKHQxMWcKzT8fiXhH7OAmcVNq4NkZ+uz7HrWXrg65ZB6x3wAt97b01oD9uHOrBwnav
LMxL7eSDeo3LrNw7rQ5H3U9eSiedPo0S6LN0yo48dCvx5EDQZq7UfJlbjClYOCaPmNFKpLNRMc/Z
OocjqjK/MKuI4DKMSVj0I1gjKwCzZGPKUaT9qxaTxBssif2Npxdnvcizs7auu6DA1HtrmqfXRqFC
mrrQ/gw/P/+505giUjjFmKb2vH5FWd3ipcSIuGuulmOSx/XmoiE79J/ydrYdVKrqk60sDNOS5N79
nwOhteQe1r52V6a+edR99bk1ftX/q+8ytWLFtv2v9/i6VOT+cOlKc7/d+6t+O/uqWxo/vUv9l6+a
r65fdduHyZd7U/ORclk/7NYLkZn02LoVZnWJo+4xV65DzUusw+SXao80OzDw8inw4ANqdee/NpX5
2HgQ6nQSqa+qN5Zw8briOoxl8LrEvdoRd/F4BrTaanQPFst/xC8oBvMcnFFoKaLtTtkgjftAiO9b
o4NuyXPM68Ka+07mTnMu5wSBh3w7xqslNBkosAxbeTst+RFdQLSu9IEpeCtj7y9eyvG2lWAEvpSV
Pj78KQmbwJY/Pf4pud6pXGr9aSsFORESF++NyvK+AWNGen/sloftgCCVu69iSweiQF3V2v80SBCV
UYvmyb7Tnd4NcZ6jBWOiMEHt/vR1hxavjYcsEceqSIe7r3oMJoJ9ZYG+DMa2gjVT2nv8+9zHDtDN
o1172Wm2PQhKQwO0ZD1YREXuy5JEVcxuhFUpdb2VHC25TCxPKW19s9Q2Q+mmWD70uFn0/c7NtOlO
T+dxVxLZ+oGTVWu4P2Tf9Ts9L807S2u82zyQVtsaWhwbckvpn8PoQAVcut/wevzjrLr6UsZDhZHm
12nmAMElrauWKEvM+tIZbrNngxKfV5HCDvb+o+vI5hXN3ZqMWYV4bGU3ryULnKNUsMq21hKO2r0c
y3eC0UUX9ai9+H2qnps1O4tT0xI63og+bhKURzgrQxlWfaVfFDLxfw55Nf538Ye2uCVm2VpyJSoE
vWE9i5da/Fdxa/hXXbH2a/wqq8PtEmPp9owtzkkCB5qEIOMxl6iTC11ehyTNngxHQqhoVftDDe5r
MOnWa95PNorGdnwomiH+poFGn4DS/GgXbHurYe5uKFpa9xPZzgg1lephSoWujqgkzfsKlBeeMmN8
NlSehLYy40dzPbBram/jyofKCPfvwcCySFfjbWvcujFF/yZ8nV22e2wH4aaAwJMD7EZwacJe3uWC
HahtQTBoGtxqSaSfJ6/PjukAIjxeBSczvFBudSvwTVaxSySC4leDWIul3QF9smagF/9zhYai5b0G
cNOD5BP5lfI+rCTGr1xI7+rCWv029j/ctTpOGggya3CQLEEbgmBOTgaUSVzkRu2uQRT2Dg6qvR8T
FDK3hq1ua3UMtrloutAHOGwb4eMZaoixPAQdCHHfs9Mf+lw8q7bVXhugXSe12CZS+JX2UTlatHWY
WzPf9W1u321XxhVQnaRngtB03JAMnfxuKR04rkHnoCRk5NZD5jrmAxHJ8ZCUWvlfdVurzEQbreGM
wxzMA1Q0dkbDPPn8MLl2OziyMG9B/boVrJoBIiwB/Z2n2vvlybnP96y7i70NEWz3dVW7Xp9YzRCq
OfaOW8P2UWKwDyEZ6BQvH836hmwnaE0l3uemyx+GBpsDEvoEnOUyH71Wefutmx+TInDtgHl3bf3/
vsoZ0vat71WoWebwiMHX8AgbAbscqzkHZJLuvur7tCJRvCw+20G6bQ15oet3hFjP20VbPf8vxind
uIa4POsBqUYi7KPvftMd/WMzpsqCI/R177eWKAE0xG/ePaW5uyEAX2clAonjyh9OILOsB6dR/1zN
E/0APfy3lfS/uV1yj3Z6hlXReuqt9k7CkX6UxkW++7LX3Bq6YXqoilxfdeoBAyv/fhOa3VRkUVU4
Jjo6FFtpq1+rtl7BIuLjn8SvWdUA/lZ9sWY24yetfAYkLF62A4IN2i5rp39EJIGLEhGI2/nYZgvm
sH5/p4xufnCWcnjtybpHMHOW89aYetN8WARarlur7hXTtaysNWnBpbLEFW8Gx7U1blUwLYDa2vPD
VnJiYgyxuovZ3lTmDrjd5Q+zCUDprgCQHm3FL5k89OF5ZFt5WvuoFoW3Jbahwnj+BMXWmF98H68C
UzP9A0ve5UXTEYr2g+ltXktblW6a71gtF/dbf8VP9ogsLLPO2sMHRvQ0CJsAPjcLIFNgVANSzIzE
ZKY3F3HWsZwYfZriadZdVo92ek9eSt/xgcYnCHcmC9uQcfNpkkMDuNJEwr+cEejXhg/g1h9J5wSP
+cVlsHnyoAgX80y2tSi9I4r0KIV6gXuw6+KjyRoNkL6rRYL05Il07Bkz7fQpiBncDahuf/kEuu0O
l3PDtC2kEuzptp1pDnCjtsEE1XT5WjPkzCNpoVhVkNYn/sQsTSiWyBlT8qjHdTSq2N75tUkUN1+R
5CdvepqDdUUUIDue8PdRUpjri2XKJXozU8jCqDBceP/RI5L5z1US+7nRreSMccNnMCTfRZYExzg1
glMea8S22A4zS6b8ipY3J52Lo7sCHnw1nTPZ8L/iQeWnN+DtTjhjyfbYQGg7CNjzCFohHWa89pbx
V2CYfqiDCNvZfUy0E1kfaZEg0meAP2PSR8PI20OUoBK7pVNZiPSE/hgEehHq5AlDcxEQgEhE7AE9
e/AXEYrekenYj2PPvKwX2XUCthiKurvvCccnROx/5U5lABi0un1SG+0BN40yHG0ApqgUR3izAnRK
Pw23X753bX+MnfSsFufBaqR+DRTYVianYR+ksgqx6/k77r/LCgdz9r6/sZPnWahPnDqPWVB9G0rA
JGbTw+isn03QauEomzo0tW9JlUcOWmy4kHX3shb2d8RL8M47WDyZKpDkZTz1W2eZsHPsd9gA7QXI
MbsTmeqhjQDKQde0MTKXqgBg5fxlpuYC4Js1ZZDWIqLDJ5zEfVMxwc7loM5tk99SF2T1kpC3c3J1
kFPdH0GLftfGqnrt47/bICeQKNWbRnSUdcJya1C3jJBKQTV9Kpg8Fm+nGyb8U8F/srQ4mxFeACI5
/i6yRN6M2Rp3Q/HaD4PxZnmXAQRlpMXi1YAXsqshyGOK4a4RT/tcy+pmL9OlxkPjecnL24jj0d6A
IrNfcr4MEr3DMQVPekmTc9B2e89s7HNcSwvmy/iEAp5k8dm1x9TFuHMY+kegHztbziMoZPti1L4W
6ij8g7TrX7ylJmE518sOuUl5Edl4lj3YXOzKSM0CX9d6/TSOcMxquwL4Cq4rrgOy/an3ltQIrWVd
71/KwekZzt2b7wFz9uy96Fv32PUoYlWpjnTpFAkY/Kdlgcdgz1jgGXFlXNiW+9GIFA74YHySYKzZ
bTeD4tAvWSCgGbdtau7buVWXPncniTMIpy28tyL8r7bF1Kmoanc4Kr0/1w2BLtCRdN3uYmzNf26Q
VDLKMCUop2U8QvaoIM3aMuw6dDUnTJIuIkjNg9PrD7rZtBeA5AtvWOrLh4L98U4hon7szfk3c5UL
TWYJnpTAb05jZRAy+yUX14SjXyVR3Hh7XxT+r+dq6j8znw3c7LVpWJk/EKV/ETHyfeT0zgmUx72X
DT8bxdcjguWxsV1MsBv8z8nAowsKhXUIHmSRp3hwH0C/itcqXdp90QNElv3v0kP6AqCuh0p10+wX
LfUfBhmfy8XXXmJMsuM5vRpW/1Y5yOwjgPHZVQXyirHiy8McFRGZ4V53xUAKn0S1oeoXlQ5/JdLu
cANN3WPuklBpxv4QD7KK+Lz5tSynY5DyQMoG6Q+zdIb7tuZhGYV4LUfy+mbL1iUWxzwrDwsB5ZMr
1F1Z1ijE5PXbiF6yyOLysvgk14okaMho5oeuju9kgzhBzsuoG8NjExsfqekRqlHyqrPfwINsGPYw
F52LZiJ3KIzcPhcCrQTZtX8Lo65DG7F2Xf6N2EuGrGA2Ra0qdkGcPHWVZZyy8iKT3tnJNqw99aIX
4r219RRfjImtr1/eUs9NDtIasVBKwKbKoDwjwlbscj//6GSABGbuz5Gn7pquCH13dkMRVGbolY1/
qEn33HogizJR3a1CReu6oGqBISE8rE7o+LqiyUxMP8MUw/mw6gRGFiGnB6EHp7FAOsNXl1qbfwce
6oBO8OmM5XPuWOMZJT9A+IJ0MZPzFM0OcL7aDPyIMPR0YudVkF1DFKUo22s2dozB/mQf3Ng1w16b
xh3Sfu/wgiewq5hlzX6wy5qhCMcccqoYs+t2GISTXcmOXotSuhcgUCUw3uHFzyFYEFnC90EL+07+
nVnOuzPOP6XZkQNL7TvA2NcGFiL2IBgauHguQaf/pjC3wVOkePXT3rlNTPdhJwt5ahJVPpYzODw0
LJ8EUmN2Xxb7kkXdzoSYhbZS5u1cYwRLW7pRb6hy35qrKCrWsydZ+sldJsiyqdFKr0tQOueYlRrq
kblxyUYLhmZaLdc6y8dThZH4HdBw62gIMd8PaZmwmIXWCjymPQzjaAKpVsa+ydCtLbsk3Sfyvu2h
9djCJZk69w4SDCyJq9aCr48OIXp/RRB1uU7e3AYS7wjhvLpWMEbjIto3pU6D5qZRVWX+W0fSPpKe
07/LLMWnuwcGZM2DE2Yg6r8tLTsnox3qD60lJxrk3XRuHNvZQXlVYcdw+TE5MH1SeC0f0Io7wMlg
H8Cp4uDQ44bEBNaHHVStj8nte1T6hP5Rp06P+p81fyToaoQM6+MH8XQ2bHk7fBhBjBotKKmPwEFR
x1l8+ZHUDBF4gbYfUMgmjOlt5Ko065LOrJDwcA0ISHjxbitmYjFvlQaLaEo/li5fpVUDG0x30h1a
e2KSte1L6rInjhN7uHUYId8U/+t18uUBwBl7ZSagXROUUC0Lz7lnrU1EKXjUFqm9djmPbLSjweVT
olSTR30+jWGjoS3SJ9YaBUUUBmgUsN9E8QuZbCNygYwfdF1Th6RDqHMoSDEjMQFVHDsgfZkPA7IU
mFw1btQSIkU81ioeWmf0wlnk1j4nBBxaWNmZdR48odI6HpbmNuTtfOpVFt8W/hf0Xe/ALL4VaSwe
CaQi+cwmguWGpj8YSY8rZrU8uvbMhF1L5Dh1bKwGsS6qY3ay+pD1EWSG7mD5TpT0uNehipA/uGNf
n4PF8C/Yo1q7sVn+qvv60Ml6ObZqZEXRBO+Ag3e9HDOIL7z/8QLid259wb/igg3xR0gjoLXxNYrz
NAnjgkCrksip4PtnHbIMypCI2UYbY/GIUiZCXwzdSUHgyi17uevx39WQ82LiFhAfCAjgZxw7UR+U
XqiXNYlIpocui93nsQkIqjvlQfVWE441QY06SPxdXiduqMgs71XauLvZl8MFvQf3PhMIDjb5Am5B
ES4zbAbUiiU0RhXZXWW1gHStuxmFs/3gzNkVbkd7ZOHv8MkekN9qTwbCC0JT8bXjVUVjqPlpe0sf
OWQZTwOKJmmaEUKePWPfdXF9rBNRRHb2plyjfUzmyQyJqP3F6E2GeRTzBcOEYR6aMFWJ9oDYXX+b
3EkLK9L19wglYsORpvzjenBJO/h8NWGevJOPRLsBN/QAf2qJi2vlNPHRMwyU/5BiDDF29nUjv0Fv
PPCTmG6dItuYg0q8JLFfRWXp3xc6q8BEK8LB1x9sAjp7y53n0Oi0SxfUb0K43l3Vab/lxBc1OYZ1
bzdttVdz/ktZ4HckPn+7vH+se5ndFcM4hVo2I5gbjA8d874H9Rx5fre8lLod7+fYhsY5wJTu4/hS
IQ2FTrT2257s8YpTnHWcmjRK+8mJlOB30jcIsyP0DAXUIjA6T/XZn4cRkk7d3iFdddMlWyoLqIiF
KLGpZRlgWVZkonSvcgqmS4dwb2jIQR0h2e7TCdcJvxXLqXQKBbSyee1U/aRh1RBhUo+cpFKfhijM
yJKGzRtW8PIFeBz1Eyw5fF38pL25a0y0R5x3j6U6K/jEmJE3HaImSMUFjpJO9mr5SykLrBzLgh0v
BXprM6PyMk1i5/bBZxFXdth5A7EO1H6mAn915eIi0k23CZAh0jeYM/rJu4fmyX4KzCbKsGBYpsRl
MzzwgHBRPLhJrO+FV7zX5TTtWkJme2yLETpPQRPWWoJeh9ncVROySipmiipddJg9lMUOWjZ4UVdm
6LHH6ZEYXHHJsa92ddO9ssa/mzOnO9mIp1uGoR0bXqQwnh8LABxjmYknxX42cUg0Y3HInA+vpGsV
O1YdOwLPZGfXWMl0LBvX2GUAbELhY8mcPSRicljeKKwqQEjuHC9/SgNxdR1f7jtspslbl/phgI53
Wjw9gPGLVgZjOFSaIS8PiB3vl96tUYXKvDDReHLxrO+V58sQunJxwISQkSQWyR6xoE9jVbRvezW+
GCVhIRwtoFKaAmG8II46C/2oNs6mXWHKF74qfxWW/074s8CEr9kls7XzCjAyCUE50Pqe3I+FRBfN
jEtgPpN4T4nPwHONNLCBgNo7GQ0sKQ6tg4dGixIE6PC6e24LKFwWicCAnL+cQNAXkz2HOitpuzeK
dfz5gczCeBVZ8aTF7RINuhHfC2V9ujZ5+GVoLlmfizO+ZHZoa8C5arIZjXf12GVCPb0Olr4zFsLh
bWvojHsx1LkYnFKuLh3OGWhUF0gDJm0Yu45+1FFKvwytI/8cnAUUhF2Xww4Ngac4yJcDHM0p8nMI
qf2C3nY4lRlAgKA9G9nYX6ZRDJft7OuQuHZ/KTOgU3BqmKk9wu3g249zVfhHvtzmYhV6c3GJdx26
pb7NGGZfUNZZUPlk0xbAS4q2u/kdyYC+mI4tCUYUyq5EL/yQUP9NGIG85G31Lv2SAEplj/K0pPjq
MlH/ZfrFjLV3P19Gq6/2A/6oYe0aJbY1ThXyEOzzoCEj1TTHaV6qC7NIxSZoivdOX7+7KaiAbkhq
7k+oRTk4Btl1pKU1xqezH1+2A8tX1qFpfnMIux9iTZeXpcfKtRido2Q4vEh05NFaYFkatrJ+zfLu
p+qq/s+z2s62x5QujsFKJV78kMCjOMZIq7OjZZ+xnflrcWLHwfe9k0018aE5uFM8XtzkDVJTw0C3
N/raYndBVjbwMsRUk8qIlN7m565bSLgvO2PMnwwtyPbVxD9G8s1BzRAlCFbwSsVxxCC1foAWCXN1
yzWGC2yoozSfY7SU9Rjzp6I9japd/VNiP0RIdezgJWos1oDBTtZl+wSIeZAX9pY30nbNhYlh1XFd
TzFPa9j+xlaYdoAokQqB/v1aVwFbq9EmXqN84wLQwbwIOOZR48Fja3/4S/GDuIvPk42RIhtMx2d3
TLlaNdNEKpBp5btqzKm+yPWwFbeDjZgHP/P/W3PcuP/de/QCdZhHQXCxOhrNGLWD+8nmpMcSAHGx
vavZCIxU+WlA5Z2kDh2Sprss6OaHrTOHMpDgM4XXArnjMID4O8y/RIxCMZL6htbdYSKdngutTEP3
oW/wQevT4amKm7ucceCC03wRFU35HVWyhEC58kOsALTLYj6oMsDHctH8vZdLNORdQTohyZZnBOcr
xu6lPBhj8uSRFYvLl9Qb3iSSj8dhDRPojlNepgS1QSnN62wsOyj8wei99JJ3OBh88JJl/RpsNEiP
EGICkXIYz1rt5rw6OHaIGV0vx9MUqybijAHiDe1QXHCJwtu+01hWQca68mjOaMFoTriQdQ61CZCW
b5lhHiT2CyqSVdPkl6BefvFle9EMaPVsj+gj+2bW7VJSZObYBbdRLNaRoHIDayzK2ELsHKnqB72E
1DiwjYpEgZNTXyT1g5ORcUYP6dr21RGi/YJrAyC0ocY03ZoQSNUVqeMl/wD1L69xhXdJjLbGTmlL
e5cjnGEZtfbeMMwevEn656KDuxFo7JQXZ+l+Trk4ekt3HADLvHieqI+8AtUpJo7+XlcxigmZ9r1f
bRpQOR1AjIripunse1Qw7JsiFd+TJn0jkhTV3mR/DjhYoKvp/S4F8TTmBbPS3IciZvlSJVkbSn0+
tbZyfxCZ94kFMEZ5etefCJY8kxqE49K3EK2IluzqROVnUyOn6ZX2ckIMczkupA52oDSt3aJ1as/y
cVc3Y3bU2zXegeWEqoi0dqJ3bwD9sWIQwzM+gk9WVqefsda4MMFJJpgveaPXK3kFCwbLXZ7VqH92
yvioxq69xgOESbL95GHqEspzFqADNFY7pHvzJ5HlJeTWfGaQ2ndzWVzbssGXYY3ezUB9R0u2p2CQ
2ps+Z3sRWIRUYezt4r7Y4/yRvIEU/CE6f7m3pam9WrqjhfOAQYzflyAbnTo9FHLyPyXxaxn4YOtV
PF8JfCb48CCnNJBBPlkzEeqKDZUKRivycs94YAdgnWWTqqOCe/aS2h2sdzLhvyUqtE6Q/ZIzPxhC
LNZTUBcNiimlfQqsQTxZbUxoQxPVz6L5jaxASo40bcJFusELaGOc31MPwnC7VCyo8+WBEMOv2ezO
yyy6l1F1/lOPsEVagWeeB6aFIpUMR1v+u+DDXracd04urQi/yn+at55b5VbeDlv3r6u/6v7XW2zN
7hJv43xsltoZP0QP9kfKrPLntB4NFtFreTvb5psh1em0lf/r9Kv9q/tWtx3+VbfdZ6ubja7aWXoz
heztiiIEEtwwqa6nuscShnDqf2qtwWZBsLYXGpDdvbm2b+U/l/45ipk0oOZohyQX7WU7NOs0O9o1
4mNb2Vbzf8qIILOKHLK7ejaTZ8fQeR380ooAESXPW11TuozumT0et7rtoMNN19MxvvtTVbr5Y8Iw
9nVRNwbB2TaB+XxdVKlFkt9ZJXPXm28Hxge8XYxBP3/VsePEyNm1Hmq7MPap3yRHp0GxutZa56Y3
tn6LyyBl6pu679I33kuAyC+mrk2XJRbl3q2E+1TPC9unZA5x4q0/UxAXx8xq8hOJEVjLsBNHxM0N
Mxh2gyyIpcTVvVsP6g6noaPPHHuV7sQSacmLM8yxY86W/1qh/HlE3OWtkoW3uknqe41tF8NK4t6P
3ZSxwtfv86m7IIZSXoORtWfL5uYEimpByx1zhlkr0Y+rl+/CQ72QBx28ENC/rzqpf6K3Vu3E6FZ7
fTHw/hA9W8wetb86nyKFSN7RljWZHh1BJsOEKMfSe5cPg/7WeiOA0S5f2RREkorSAQ9vJ9ZH1vyy
VK/YKQNo7BPnfRntZlfCnXsuUkQKmqn+QSwf09q1SiZmfwvwh9tK2wGicHJQUL93W/+truvNt8AZ
5N1WGtJ6IcM03XfdHIBT68SuLvPxuRJxBQ02HfcaXobPW11as9gFHHXbSkHfoqfdlr+RofmnwzKh
eExUEgzKeo/tUJp/p6MjnrbbBM2SnvUYZMRXh6Fv1uW9LM5bXct7e9dp8S1Q5PBnfAlh7z4aS6k/
a2j4Hzw/WcMTDNtbHY44T2VFBnWrcuphwc2m/rmN61tVOi5zpDeGedyK2azqZ3xS/rlDlR80E6DS
hnndQK7AQR+zJvNOmWJ8RbLlP6DbP10UNqu2EX/7qv93P0L8uPbplnnY7vfVcTDSl4lsHDsb3LxR
cKrvkQy0z9a06ue06RRuddthqPX6vlsPSabVIUmN5fCvhq/ORr54mIToj19V29lcxPX9V52flb/1
QLL6kWkQ+lJl97VJylhM6T9nX3Wu1gEikMFl66GRYfrTrUra4qSZgGE6E/HqrLHjVb2le0sIBO1j
1gyHrWgI7LbYk8C79hz1JuJ4BfmsscK1czqK8pQJjGu24ij65jyl4EyQamLvJdw3KyjAt9U2Eea1
aJNUP5kK5H439u7bVMnxhGF8u9tacSzLT51s5l1iw5UfOte7xJJFiZsTndM1QyCSVriv3lCxBQvE
+1ZySiN/WfMEWyn1Y/fVsh1Ukrryaauq+4TVRNksd1sRxJQd5ZPz2aLzsDMnbHqdFBtcrU+1vRME
/qvB0uikVyzqtmKN1Av6ayxyts4Ww8UjDIbr1hiD6Hj9ZvKzHqJxtnivmuZRX2+adyx3uyCo7raO
LRYiUTz3AS+WW4Rb3cjMsxc4uB0C9vdB2gyQaJjipm1i2+Ym3/Riwp3r9qoboItElmsuJ69QBxxZ
C7CfSXqsUAt5TcanppHlIdDa/FCMq+7l6L4QJHBI/hr9vgaV9ablA9GpQv+Gdyiz+1yVb44xzazz
GeUCzy1Yi1vedUmhO3trcdDwfuyD+B1VYZwcJjSEg94+bqW2GeWrZ50ZHdO9u7RHD1QQ1jhmAH0r
R9G4isWbmohkFS0pKWg05snAxCUS5ATWKJ8XDSBd9mlh9wfCWGtszGc5j2Zgb1WRbZbJKTB37spC
dfVBPm0HszhZtvZgVfJbb2opXnDt/MCHRoajnohXF+xdNAtaZEbyOErcBqqhiYYgqln1964aHuO4
1V+zBKVJEDehtIP4pSSulbes1XWt5fnMBuii9bCdiXWN4db2fVIlxZ8qY4rTi2YNz5kqfjaub50U
bgg34aAPN7PEvZZt+cHaW/30bXEbptL4jVsD1t3KYbP0oOYlZMKtyGF3HXAJBx93NHq/JSv+GrOQ
MMFi4c3O1DkFyPvTKBGG0x4L3DCeTbe+IvBaHWqDOG2lZdUeAEtD0jv9xqIP21OsUCLRBQKZ87x7
tLEsIxDgpj+l+K4ni3sMlLGi8ysfTzNihBUe7wcUpwna6iBjccp7WrKxeh37bGUXFuKyFYsWvVFA
E3cw793HuJ/JQ/VjC1fDmh5Taa/8skwdQAVnJ9WiEeJo1ckacrwACleeCPrJvb3SytmZW88s/fnz
CzlIEhQ7QFD7TCPRT1KrwPq4SwneuKFtPo1a95wsjEAWQ+0hic0a75UK1Beufm+m16kHHOaeHHZr
b8PiG0+dMg9bG9KnwbUPAFdP7q+ewfnNFl7wgo9y6OK08DY41vyy4CO3tU0IwRFr1qOtpKO3+NwO
RO7X6waSxc+VWe230izL5lkF+UHEjYOfeqs9Ed8/bm194OhPXixPf0qN3T5143K29VxH1sI85W2x
3Mr10Onjdck6k3ANpaZXw2HwNRctI9O9Tabhseedy5CIDpoBWyUmp+4tc5hj5rm8lqZ0b/po0BrP
3bK303RAsHYtb03bgQSmrerhthX+3KpsFbZhqiaMij34aRwwYmIwrnG2c6SAMIRy2Fas1z9AEsDl
6hX2TNYCOBHFqTPpvfj6csal6vVPcWsxZDNcUie/lcXwYddZfS6JeN2Gof3ngAKmt29yt43+1TDq
wXRv8lG++naWZ1h4+BhtCIAcaZH1LmlHMGgyMwQD7Dh5sHJ/OogBMqVR6MkDbxIkAXdY5rsUeNVW
t/XzcZh52Ip+az/CuCPKsF7/Vb+0Cvki6WroMiaSpVxs7MQcCxinHKqsqwAYQ7Eci4Yk8lqX2oye
CAElwDnc7rV0qrcmbsVtKwXBHK/QyorNLo1jl2lHbXQzNtJV/6q7lXnvYh8BYqQD9EIPzAoBedov
W0FIckzIni93W9HogHJAxiswX6VrM1fZOR4DkMNrERnP8mEZ0z9/eKtynTlKZZHg3UoHpxwJsY5o
omzFdMR/2LXXQPTaKlynucDFcDFBpViYnvMooeBupe3zdYl5KtxSPm6fvVxxXpOTaXio0r9dgUWz
icHmVmyEvvDTrFZLVVoDt0QGKUMIai1td0vj4bFoCPGSWCa15hiVHmmtkheXZAGB5LllrLYxXdJd
MkOJaxRv3sQYnSWJ9x0A8VVyJmCYPGIdvPxN3OJ9JhL62eCaFJGUFy8Vum5hx9IwHNiv3EBwFKem
duNLZy0CM3QtPZGHrE41Ip4PZpm9F8iz/epmD0d3Mb17fvOrKuv/w9h5LdeKQ+v6iagih9uZs8O0
vdbyDbUiOWee/nyI7sbbp3vXvqGQEEwbhJDG+IO5yvSoPyl5YD7YIegbYj/BryOJ+IoIPgsDxbPD
W9ynIUgczzuTIt2H/fhijqm2Qo4T+EYem9d6bLJxlRQK3Zs3tY2TB7GRML57IBqKJ4/73ULhcd1G
MNDtriCf5hUtgCug53DoZDQ2G1gsTt2fAcuPx7IqfuRVLB0NJRlejKag2/WPiluqb+bo/0xHe02C
/toOubvzTf930STRQ4B33VaJLWkHTV9+y41QYdJa7xRbNV99c09KLP6ijWO306Qg3NpSfPYk5yfT
dfmEYeRvPch+NL2vk94prIMCYpQsm43/EkJjfRnGKDBBfnB8LXrvSBJhHmgDRSpIVlq82FHROxvV
J71UAAR4zrI9EfmQlB8ui3Ua4iGCOjFZAuVLMXrOwXDIfAJ8j7eFjzymbgFW6sDCV1XrXox3G9b3
rUuVZw2DLYjoBcbAKR5pGRExA7lLAi898V6ZuXlpaQ99/65inKE9ZbVpH4akQf6wB6BcrokzSgdF
Iq8Gp6nYwZ1XkQdxtdNPoB7yLSYCtkFfydykZrrSUKs88nlEYtP0vhWJXd5HlY82VeqDReIecLfl
EzFlI+m9f+md8OeQSsG179DOHcf8zwgNJq9V591rvGpt4N/3RPJW2RuF4Z88IyUqH+T2xktl7Q3k
54/OCPM/OiqY5IJ+B01TQP72CdZnOeIQXd2sZETqjqnrddjgKMFjAUpFlMSmMPA5hThPcGxqITZu
roJ06Z3Jq7J7RkZFAfYXHsBGbEMk/R9aRZfvA6nVraOS6xZFAyHFWxI6V1FqQRfeOw0ydm+2F1Gl
wT7YW4FZbCo7Uu5Oq9WgPAEQTSVRhe07gm91HJ3ECdPX56jxZWbuEhwyxZ3UPvPmPrhAWvUgfxIl
rI28bWy7OLFMB3tWNuSra9ytKTmq0twDKQYhYLXDXKdiNXFsndQEyUsTsWFSsuPVSB7FCZ4tDduo
wIBbHGRWja+nSvZhupo0bfqOwJ8EaeAoWhDq7k5uhgrUckl8h0+Ir0bz34wberYOnOE+hIQ7BkNR
75WLw1Za+qc48fnSZXX4x6xNdKWZOz1bvvkcd79yZ9ReiGmuB83ocbhItZe8z3/6EUIT4hghWnmN
OKVzADGqv5hKDZ6rdbqtaJtqqncqcDtZi6OdTKZHrgJj7+qPfO9zwDDlkJwcnxkEVLTgWWwQR8m2
ReRm2+ifOnUIkpVXOIh3m2rwPHg9KC/XQftb38d+oN3trNHu0Sgx6INpOYpiKDnNURmBh4gmSmdq
dz5gg5UEc/u0Io3co9J6MKfTC6/cAXd3EUSH21ZIjfUsNlFYMdpVXX+0vNB6rtFGv/WhBM1cBYCW
6R7saIxN9qIxEUH/CS051jRuna5B/VZbblC/Bdj81/XK5k+WSO4WZj/AKNw3nuHSqTilVc1cFHW1
Xm5Khe+ZKMlele3HAoDdXFRdzhqTvQtw40FU4b5MOq8JZdwhCu8u6obRPSkpL4YolbXUHmqjzGjB
j4pNaw4POeCQ61wFCxJjpA43YisNHi2b17xGO8scVH1FbpdMsdZ5z2LjyP5ezrTxJkq9i2FrUNr7
TI2DaD1WUxS4LKyVOJoFfOVjQyV0VkXhbqnTnOi3I8t89Nq8elICuGW/rWZn9JX8LDb0IxQ8WrLV
S52rd68lHoUXFH3k59Zzw0upmF+XBhHrFJQ3qmq/1Nm4XtX9fNGq7RCsQEZobfTmcMG6+bHG6vPG
NzC5kUI/tZAgTqJkYmiMWfB0wIn9Z6XW6+OHOnGaUWU/ytr1NkpeJIB8UutJbOySKKEFIQCGOnW5
LAHSJRdTdpsIjuq9DN387kY54TUnDPaiLglSYpUhEHM/zfL1ULjyir7vHkVjXbPfvQyVYk0H/pPL
uCrFDLN4vQflvRzz55pA4RW9V7yfI0RudX+yroQOitdDd7YaveUGcNAHPrUhkQpSSjHLuzyU4UMV
2kdxUFRhV6UQvK+cozJ0+W3Q+7NZ+hh9jp32WuldfnL6sgEVNHjJtfTybZpvJbnLN1VllRsFq06A
R3jO6pOJaDtZhYatG00uVlvswL5UmpvBh28vbt5ejdZDsd0nJwUv4YfbhDvDR/AgMljpZMwAnFwp
Dn1g/hrtFARbeZRbD+aE5IPpllt1UzMHWVfMPlIHmxo1WY2ghNd9IEEkdfmai2wf+BjY9ToYdFnq
TiAmXpXSCvYeHwQC3DKQdEDKbaue5RGtuVqRNJILsJNsaR/36hvrLgYb0AubXJNvSRMfB8mSLkWT
Q49tO/uYtBDgNO01rLqQ5Z/NOhm0Z9L69n1MDOU0kNEm3lETTNSyVZIONZypldxrDZo0ROuhE1Ub
J2+jVT3yjWQxfJXbJ8WvnMdJhG+AxGAOhQ7v0dMuehXKO6lDLjgL3tB0fSEjtAlqJd9lZm2f2wTf
aQIB7C6boUMB3tSKM6JlX0BY9JiZ1e0ut3x3BVLDvbXpLy7jn5Bb0VboPndrS8fhe8gk5ZIwV02M
Xn7SYq7cFcmIMbh8x/hT3SYSzn2RCicPZ9RK6cpT2bjlFhfCblNZlneJ7XLcyLX6xevxDwAx1Wy9
EYqGPOZPBvCPp0LVX6UwKA4Jao0XZBLBlfBN2caVVV/yLCNKonbwt0Z37RVDewFIcGhKBBnrMlqn
Zb53kt45ptpQbGLmDSytdH+lYcq0LtvmYBQTItBrlK3emdEOgPAPpJq+T56UB50s+Zq71a6BwzVr
1NmI4NFvzEoCrhfV9Vlhi04CcC20JFixNxpfe82EbSP/KCJ1gFenl+cOoMFRmgIeWvUkZtTKNK1m
ikI3asiDxD7CLGmEZETQ1fKrmnxvTekWx/B8EUdZx+ET6OU/o60VJ/JvMl/CqERzTT4NWaE86zA8
dLo96V6z7CLwN1ax1lI/uDRp4Z28nhlGovD+Dn62ht6ZI7fXTb03x5ydqQeaFFbwOuAPsNUiYqhm
UZZ73xx+2LpsX3o7qteEAmufUOgMdsCii9ySaR291scRwoNMo6DLqWTlFCn5AhEgXXdh8KtK8hNh
ZP3At7yNQKwgb1XuuKF/yhiLmJ4wPNkHTDnqwngkMKKuQtBlGzes7jh8wzGzK0zEZC07+iXjYCjp
uMy31TpviAmU6SOapvKlDQLlUk8bS8f30IKEGacrX/Xcrd6A1PMVlRWKZDWMvUa19aLIXgPK2gWZ
90si84ASQ4CiEKGMn63R5W81suZ8tA9NihuaZcNpUj1yIHIPPdVhenz1KoA84xMrknpN3rPI9VvZ
x8kKN4DXOJR9ft4yJgj1ZoBc/NA7BNhLtRnICnvPCKvw+awLEEqu3IDD18NLD/JyhfsSswoWhU0k
w+HRa4LXY+ztTGdSny3aX57tJgiUacAbbTUGxKCnAA/dvT/i+KdCmF81ClSm+ncHaTAA9rutHOB8
pWkRdbZWOEvLa4Sms62cNSCUGwkDFkWWEINEL8bzXBILuX0fiuG5983qQqgxWY/NgChaUj/AXn4m
0lytDPTkj86Ab3ygusbRMu2T5LbOSYpc+2RMOJ0ibL5XtnPJA4ZZvZIYxuKiOIwoLOHE+d4BRN0X
TfOO94EGJ9j0tlIeDdcOr6KLRfA4mwjEXqzeY8s+g38YmGX3Lnewe+9ZtRPd8IAvhXiVaw32yBkk
iiQsCFTUnk7WLTcOhV1kKyPC7BzoegYozjEA3fAx2EFmPlkpSSk1Q3ML6dh7bjQ2UZ5M2URhuM+H
Wt+3ZeF8jZ0XuEyNXLs/R7PcwHnnW+pMEBnpZ6C169RIvJPae9jsFXK1YaXuHFqAZ3sDHCi4E1JS
ksvirYFwb2FC37iyvmHOeHV6o3uMOzSKLEqIyUTbWvde0kQyz8um6DJrLprM/I9mCUWsHI2b4TJ3
dDoDHKOdAPQsHGfneq6z9h3U1xSGvjVL5pUqe7yKrq6dxzIkbcrs41ecqtvUi4aTPCLfhFDUkxJ6
v43JIQqqziVNH0VnZHXGh3jaTOI5etorWMGX9VPX1sOtDqeRm5KTe/VTGTDVLcp4n3uW7K9ji8cI
Juwo1aw/mjZm5mEEb1GsonOoZ4+G1pu7Pg1Yf08b176OTgMPrVbCbdU8xVYVnXyWB6fYtYKNlkEA
gI0dnA1Tf1I9DfaG09OjcA3sQFwR3wu3nVQ+jfgcEthjcdZMAmdKchAYMHPKSEMVBpaoG5PXFQjM
fzZSQ76oRds0c7DL0HwktdwcpEafODVhFvwaLGTPp0SANKpb1cUdFMMtOBJ4SjpwrL0WNNbgdQMr
TpdzCY1cEJQ+0lGzc6UPj7I/9lA7XHPTo0qzHqYiMgXDutV5WHpsAzSz/BheSYP05KiALnL07Awi
49ANMFKAK90avXmSavyfUszLNypejONaYOb8icBvgD/bWt2QwikY7VsfKwpTwSZ5cEjNncKqeBuB
G73itQHaMPvud0H8Kqd4wTj1Lztz6dwiSmBNoYJyVFnpxHQoy7GVq9gMfMIAWDnSxhWt0QD3mFSK
rQTY0wUpMJSpfhKXwfzwJSi99JiEOUN231gbfJ+Bh5BSAASXjesMxbTAykzeC3ON/bp+7RQovSVA
AakBWBVV/B6SI+41JMB6iEb/zUcKDvHR3eC5+cayegjuE94IgPYmUni66P/GEupb5R/WNfW57pJ9
2Zd8JkEFRhbOyHIESaiGx1mWR8v/lqW59gUJeRQ5+2c18oxD3EnPI0GAid4q7wt9Mh4I3+VGO4RO
75Ot3zjh6Bz9wLiFpNLWsYp8aS2nCP9pIMbNs62rw0WJw5deZpXqFx4yij6U4cmkqXDRtYkqfg8o
0NusAOElZbMzSXiD5crNWTgiHv40naXcge3aSGNLAwsBnXFamXD1adxWmyw2nUdYANaDPLyMIPge
NcAIZupVuyKMvuRMDJCvDIBW5iRTRXGM1YQ5X54A0JSkfdTYPvMnLQb+YmxSr9HWRZ61B9gR2Uuj
l9Whhy2yFkU1sirwxqWB7aRUXZku8//UjblRc+/XYErDPgvj8Yzwx2M7AvbWbTN68JByefAqpSQz
jBSm1Vrx1ijNYp9DA9c82BlShMRcwp83MTXsDqlgyyfJmHkra+yTLavoB404B6P4JkkeGh+wGJ5W
L5iW1cdkwszkE67OB2Fx1K2HYMKNltogHwFG+BOSVGwGNXiTJM3dhv9UiXrRPJleu/KUe9xXp4ZO
t0qymK0AelYqyGmlLLyNuxswFjwY/ktYgRRw733lxTsPOq9Za3CLuv6OUDnqhnjezboaAiMkcEOJ
zoLBDi2UvCfBDXGgcWNIkv2Pwa68E7gsY9wyWeUvEbvijTYKuGQHsRuNRJBgYfHvdWUG2teuVRSE
cmk/TJBC5rIAh1rg1l6F14O7iiRliiNQ64HF2pJV+WZJ6SaSPYxWf+ltB4p5unHVdEWxt+ATTSWS
x62AKorKfkyG5CBaBlbNnUEW0fvr/Hq6iGil+PKwMq0k3oi/MkJrmgQswmeTq9/eq+S9UBixnDUk
9+4IhvNnMz2/Xg+sQ4oatcgBi00k7r/YDVkik9LC+E4Uk6TY+7mk4j8z/U0puE8P74yD+EnxZ2Dg
6wdFhzhJW2zxU/8lzot7D4759BjnJywqBV4qdcm6GBNpdKnrc7XZI7WCJxOgjxn7K3oDtFsy1P0Q
91tZLb8LPLDYdMComxJ+HfFUJEeSojMxIyqsmDHerrYi6T3jvHzZe29hLm6dyueJmkiI7uqouotn
b0b2Q0fcZzeWGsO60QXo7TF1J72VnWKL5V/to9m2PDSwwyoQ6srbiMclnobYy7FKjXC7/LtvGL7q
klduVk7Wpid8HR3QZ2J32kBEoG9I+wLLcMaWLhoBIgBzxrFWH7cfdsXZFo4UIJFtLT3Nu2PcgoYy
g4P4vb6qiFFXm7COvoy9ehJ3br5LUEtXmREPG3GvxV2J6oz1f60gvjJhAMQzEWeIPVE3dwdRFhst
xjGkanwgmog+ds2zePBz1xS3ZukN4khJ5HNVgGHfiBdC/JFqW3J/ai9T10TQmeUaxY96sg1B7nK+
v3pqtSPAK22XMBug192VIq1h2vq7dIToXKvDszoNHeKznYSmtR+9ESQwrnsrGTonSrgVekJGlGb/
3w9/+BvELrZXkN1VX51bzk8PNZkUpImmbsQQIL7vDXLjBxNAVv8cw+Wdb+4Mp/jw1nwAVXy+gxpp
vCyANTlWO81PlXEb2v671CTydrnDDIIn1bKhdP/TgTK5fUwwsdyJv6V1i4fYHOUdGo3tuK4S/1J3
qgTMYxqHptdanCn2/rPOafIR4QA/2oie0IbxjikMS5epI6g90k46HOul+0wNzGKkga7iV+8NB9GD
+8boDkNqsCwptqnVYXxkT+DK//xdM4uPrg9W2Ek14AoTIGXpe2N4tdUJwKhlZjnJ2zC8TcOy6Emi
uNRlRH+mEclQR2vrWkUHZiV+tDyJMVK0F5vlbf3QReddcXwsnO7gVPpa9IT5FGwF9tJbXZEgEGMh
C/Zqj0L3cXnDl74s6kTRm3qh3La7CpDe3reCnTimi84uWiznf+6CoiyemtibzxHleffTcVH8VDd3
27wwzb+GHmzlSPDH+tGDK7eKgcdkMSC31gThPH04VAeiqaeyUB3UHT4U5OmZF4gn3pkqxqDWQzrW
TxZzA9aHF5WIxShnWDVHTymglK5szsaEVR37/Cnt7Gan6yNTiUqVN7KXEbtpEZhZkeDdCd7BkE52
kfrYlRsvyB+spPjw4MWvin4wv05LWVQu3WTpK6JJ1sX1ocV+UHRGsSmn4VrsqRH0JT2E8yTuvrhI
Bp5xALNCt2tdaPVr8ZbAaqdW7H6o7Wzta2ogoiTWLQOuwVtIdd9MwaXwuWFNKMVH4uBQQ8IJ39BH
6mvQAndHxmQr7rHYiMceTtMThHJZIw/xj3RQT06oJTt57M+RniNQ5jQHMcgojNo1nN0c9dyNn3nz
F0Crf0HKT47iguLJiz1G+npiw5hB92vsnEfs5ewZs+xG5t3F82yXih6xDAayIltHzlv+PrXulU07
QLxf7mKeWIyk0fSZSezE2LgGdCFBKoEX8BVcssZM3EF+VDQhtwblREMXpVeM7axjJiZb4HWL/WBb
xwFgDvncPfRINIoDc53gGDbPruZVVKB4GTk3VZkHYbjUt1KLtJ24vvi7XDPoj7X6MGppvZN17Uk8
1eXRir20aX6G2hCs+ixD6R8K+V8LtGXgkMS3X5TniR3L0xxHGpYPYPy3SmKmsPPrtLsiyK4fgKYV
J8Ha6YKmONEX/uR+kszPVzyJZYxZHgwf6N8x9Ex9cMqNAUEaWQxLw+Ek4yWwGcE3KARuc26ZeDKi
W3sysUcDeLCb4Rvyz2AuGiwj+vIk5w49jffLTViOij3R5H+/FHO1HvbSVbxPYqYg/hhRnOfiS1ns
zZVjgO0HE1qEGcREV2rMg4zHomgifnaecoldHDZ51eZd8tp/wernD6X4Oz/MMuZz89ReAwu4kBDE
HoMPvZi/khwhdC1ekzFDDmbtDfo7WivEk/02OmSV78tb0XzedacvaAAYpPHieR4neqqY0S2bpW4Y
E1IOCkqRCjCxaRIm/p1lM6MkRfnDXHb+6/Oxh4lz7TN03Vr2K+DpO5Ms1bhGrzcjCfXDFn+IXp5U
W5WP4maLSZ3YW+79UkciCM1rDwLI0lj8+lJczhV7y2NcDizX+3RukL42CHUwhjFmioETCTewRaIs
3jzueMQyfjo+//FjrmSrQOrkD9NI8Qjnnjd+9yDaH0V3DVTZAjQ9PQO/aZDcED3l33fF2fNQBSin
Oth5vPlMBfFgiixLuE+cEEHwEEeXA8saUBwQm6WdKHbuz04p0+P81089eSZ7LO/MPJ+ZO7OoddS0
IX/yz3sn9uZWYvdzWZw0X/VDq88/8PksSSGxUZsvyojUrBhXltmDOPff6pYm4ug8zxa7y0Y8j6Uo
9sR5/3nVD8sZ0Vo0/PRT/1b36aqffsmbBnyM5srGh9E3veJ4OJOrKMZ5rSpeeLEhlAI5ExoRi/cp
zLZslroxwRMU+h1tilpjd24khltx8aXphyNi19U9EEKk4OceLV6W5Y3/9FItL9Dyoom65TRxxn/W
fTrt3y4/v65jOpH7sxC0X7+xcWhjWjvNhcWHa9nMK9ml/CFW8W/NP9XN64npsvMviOt8ajP/Qhc5
F0Xq/siN46/F0CDWoGJv+UaLMWQpir1lQrY0/lT3qSjauS2CAe1PpUQSIcpMiHy8nOTemd6KLjzv
ilpRHglls6xOimSnOtl9Gd4BU0EbX8rSONHIRVmM/MyFPCJKRmLYc+jI9Yx6XIvhgeg/kqwVysB/
0dXmQcOUiSGI0SXLR0iYiL9txJMUm2W4FUXRFSyx6F/aLN1gqfvUhZbL9F4VE7KwYXp18qhvGkuN
x7VY/0YADAgXRf2LV3fBbn7jxU1ZNvOwupTF7frPojiwvLqi6BFI+Wv4FuVPVxB1YxKBnVAiXqNl
sJ8n1vNx8XyWMyu8Sli8JUeDwIg2RUg+rByXZuJcsRETg6Uo9j61E4PoUvfhHxdHPp3SOYW0HbUr
qMDHEioFrgGiBZFyTQHJMX24chzx6rsYutwkSpKDuDN51KbJYZStVZVYxkE84eWJzu/+h2Dmh6nC
0lTsiYcfZC0RvbnRHORKLURPtDBAJkVFK7sbnZx0DGouynATr+gcpxQ9oB/VsPoqXuS/olql7G2x
ziZ1UpEcTNPkGCERDEsc0prYlBXZytVSdg1PQv/MN1b5pDtsjQYGZAzIS+TDUBVvr6vuWXC2DRIA
gYx2jbir4rmUCVQmtche8hCeieCTq9MDHmtEd+o5nvnp9oub+uERzUvX+a6LNYvYnV/zgOTk6OjD
Vtxl8bPLRvwBS1Hc2E9186pOHPlM5lxaisPLv6T6vro2sdZbYWOIVZyXum9NFvZ7DSHArQpjliLU
MwRIsyM+kxw1VHJnmoVMz3TUcYB5qlGEd1Pp3QMl2SvTNeSoTK65V9Yr0Wpskv4gjbm+kdsEkF7X
Zasq4FUXGyex9bXpAPBUwBRd4sjeyYFvpFskgzBcZmW/JSoJaniwjpXqVQ9wssg1IxoL8TyxcC8K
5Uvs9i8Tov3Zg5TyDP+m3KAa16PKQVHUJQgeJRHpibJHBSI0i/g5dCyUBfXmOoRoIVjAFnYquf29
Y7jjY1xUP+E7Hlpdyd/6VMdVK3bf05wpeYkP/Mn1ZJDiSfXSOqPx3SFaT2bX9Ug4KDXqOF238qqy
/FKOYHpZkuevqhybaxR1gFcFyHbJ2WQLoBNKHlOjQL9JlpEyCkkyVTk4bowYi1s/HSGUhJlAh6OA
Hyn7KjPz2zhExU3siU2SZRa6Z2mKsDBBeCMLvU1eID/kDt03neTZvpYnKb9ELjTsSFDi2EwB4JXt
snILsxDVaxnCp+ZiJCqjYLipkwxMkFN3rIerzD6B1CC95hBsr1H9GtoheOymDUSX4NGVo3dkNaWj
qMoTTLrRXUSVK0P4TDPI1ljeY4Ua9qNMJvQxlhRlPfS9xwqCA6HpAK2KTe5liqUoHrKroeuamxI1
zsM4bcoE2J5J34JdTYvlgK8m8VrJLVzROrIz+oDZXN+r6MK4v4coGG9zCTQHyr8WfW45vwgM5wGV
mWBd+PUK3VNtaymGvhmGKkXjDTB9pin6ybSAOgNrVTaqqUb1Cit4ZDBwAM8dP78UUO0u1bRZivTP
fZQRQ+2QNjLhpuXqKR31WFsruqacxCYbvL8rs7aQ1oMDy93xY4LNiBq8tC6AUdvs229Rl37VSKWD
C4fuz7ulw2cGmQhaIStQiWnH36Q7v/hppH4bqgi0AoI4L16fALtGB+thVMglG0NknAs7bU9qG9aH
OA6zG49AgfJfy89VL9G5kli/ylr7UqIadLWD6KEziwrqq1Q+hy2JIwuxx60oigOkQl+RX0+3Zb9q
Me5YDVPzUIkx5QvBck3nkcGmypKg3TJmbD6cbKTvVjzqZ3GpstKVm+X4B8hhOHUmyKLt+OAUm+Uv
qL3oj++P0XzdUhvrh6qpt6mMrM3axWK59ZI7RoUjQfusYq1s6meIFtUz3PP2Ruj4KEoY7dbPmNZB
hkp6xJqmFqLO0vLPJ0X2i2yjx4VrIEBtaD9ELKZdCQbdBf209lJ2hJXzGLUTccBCyeKIDGYEmo1b
oepSvUdsU1mLorg9SSxPnyoLTNh0f8y+B+hSTBO9cG/2f+Z/J45Sd29mJZyz6f6hOg0iLxkc/Onp
M32no5widsWm8EYY7ktZ9La+RkLyQ6U4LI40kDs23QPAGRB4HjrXxOq/ox/KoKSWX8vS8w+t2Xlo
vPvFe57vxPGw88tdrKLaVIySRcBasnELJx54rLzAuzTTpovQPbE1d//hQNvG2Mm8ea4ZbqEwhOe8
T/AwnDZiT9TprLIzSAEoqoVKUOE3+B8NxSlz6+Xspscc8P9ySmx34CtkZf/5MnWTIXL71N9ymWjg
+tNfJ1qLHxmyXK0ucT3xKEg76kYNAxZFymswbVIEJq6iOLguioWB20Fel0OC69PhXEa5fLU0Ens4
6J358DXkkTk5tImq+Hnh4IkxSNLJejOA4qMsJY5+OlUUxQ/XqI4eLITA51PFr304I1H1bZMD0Ph8
YPqrhjyE7Pg0ZubXGHtSkEujHZ/roYjPdh8AOFFQ3mwS8owy2YptlPnKXc797mKr5Y/UV+R7Z2by
XfXLW8MAeyM3DdMF0UG+fq2G/pdV1urZBFryZidcimROfo1RM3gLCukLfGTvQRzUc+/qZqH5KI6B
FN7GEOqe06llX75FnaK/KG6QvSrRUTThm5Pc5aqCfnnzy3i4tJ4SX/tpg7if2q30qGTXrMYVYzZo
vKko2kA0JZHj2r/lqMO91CZ2CXMpfkucEh1tRavXoqi1VXfQcE3d5LqBIv7KNJr2GdMrpIuMXt0G
ECrfqhZbBBm+3n7iV74BBcs3ZuLqhx7LzMfc7F+A0DTfjPz7aFf2F0Oy61OSB0gnmWrzrRoBUsiW
kT4iooOWrt/+8Syz/gZkS92MIS7iZuW+KIDP0LCtO/Ce7IV+vR2xhoUv/HcVtMi/Dn6qUw0LVGwy
XvLOKbf4teUozFnZSyIZ5qmKmwHN7TZ7UWFMP2P9vhIHJWBsLyAwvsDkla+iynQr8gt2l+9FsUdN
4qg4Q7QWxTK09ceRLJ0oiSs2nXyV0XpTYUSfvWEEl5AZvnYu0YqBFl26qLCZ6ZWge9hswOIh64m0
7LZwO+skjrS162x1pTPod7idjC4jD4IxwVsrF+0ajk9wEkUrkE1gCkF7FkUTIyJ8IFX3IoqjNHy3
+ebfRGlok0fG6/RRC8H3uL138INOeoqTWr4GLjRi38WuqkuLR4A+W2Qn2qfcqV+jsJbPgBW6J1Wt
eVVCVOWLyL6IBqIeXcRdLpXJTVSJjY7KUWBCYCgbFcPVDPfYxPSeRPMQOtpjqj9VVbazG7vAsLDc
ImOen83Bys5BA1luEgvOz5LMpmoKG5lZediEDi5aqhlUD75iYQU+GC8ohMXfZKNwtuhm5gdRhKMD
pF7N3nK9R5JSa8ESTM2UdnBXaPqBqkl73JXlGqB4EX8DRZ3soeNbO5XcxzfT0M6pLRl33U+sax4Z
ACymZvUg/x5ASx75tClXpnUKbkTs2dNmVGJ3TQSvAr/7d93SROwZUv27aFVl/2/nqzUAmMYMH8p+
rG69VACXzmyk70B16XyJfqey+6r3nflWWT36QKmaXRJfM1E2LmIQcd34pS3sJ9G01+JLGWjO17JK
5Y1dhsY1zh0MWMoStRR0YV+hI/2UEL/ahtnaBjZ0kXNeKrsPvzcKADFDs6sHR2+8k2Ra0T6IffmO
qkq5Epe3xq9y7lQ/G/JGwIj0EB3GQTsQs81R3c2NJ8dEc5zX3ULYUklXUVJmKOOiUXXJGVMvZu5v
WlcNTyXi5H8dmNuIw/lSC48E8DMy/ht59ORwI4774B4v4mqhZVNpFtAJC0s/zkVxWHWUqN/xagdz
S09Rnww9Mvay2cHdXi5hWPrZBF5+snxD2sZKpmJL1VkHA7zvEa+b6qJourUzo2R4HPBx2bS1XL3y
NspAf2zrnbnzE9o80p/KebG7iClpnxm7p7tZZ/pPOImIReqM8/Q+XtoksiCpeOO2LIryFqp1edC1
ojsFdm3g7uvm2BI0FvpYgFUZ+GBmqjmyWG7rfgu9/jUKdOm3BNJy/qEkVZCKy4xfQ9x99yXJ+qqY
VYLasTLefRNtcKYo3gMUanufTKLisuTG5zYOjT3hgPjBhgoExrkyiJ8xkJnu6H9jAH6HfCj9Uj18
kEEnMcNmEh55tv47QRlZbdoXD2uOqn5uGzDL6BRXL07NmrBpC+UB3EYDPAeHJXhX1obgmuseVFXD
g6q3JkkDOU7Oo9IkZ7FnWSUpQCQQrk2ErAv+Nc+K1Tkvaex8VYZQuuqt43APkO8t/bg8iWKjoTyX
WmFzVMMWYSqFedmxyYG6ZZXtvHoQ0ldF58vXtsjd16Acv6mGp95EaZwQ4JZqPIimjmKdA8VwH0XJ
b719Hefxs56p7qs7kkvMjOqea5b16u57N7G+hXwq93Uv13ur7rz3TN2XXWm+5yCysMwpykPnddlX
bO7WrRHYz6wjL5g8ZLfSlRDP9yBvNK2vrOa66UCQkXHGWXdisvR7xI4GXiKE17RA+y3sDg3E1HzL
a16XBpVWapvCbIxdh6XgrZk2dIxhU+GNvBFFcYCEbXarRty2sKw+A3bil72mAN2A4eiK2F1206aN
iRTv2Za0a2oV4zNRgK9NHgzvQzABPWr4HOhAIbkXq1/DsRve+zIw1v1UH0z1/7O9jeTS0t61Xa4D
PG1deTaCb39ff6n/r+v/z/bid9Wig7nt6Fs9NcJ1x4L9Ke+G8km1dHVvTnXIZZRP4kDK4neuE00Q
iqye8qnu07l8OZGzkpx9qPJNFBtjYls6RSXv6BnJX3Uy9tFOqu/+H2PnsVwrl6TRJyICs3FT4Hgj
6cprQshc4b3n6XuBqkp/V/SgJwTuOA4md2Z+6/vdbd04xrbt1DV6g6C8kbJWRzCJ5mtU6iHYmFzr
Xg/HxstGpbhZJ6Pg/yr6J9VRmmqjhol8DiqEeNyk1gUI7fK5XSbroqFJiO5/lrPK6xmuwXr899Z1
/e/i+op1HWy7Ux7R0Pa76uedfpdTbnrzaN2UHK73HvsPiGT2a4KeiZOqzA+2j5ZUHc0/k9Hb7xoA
OrKF9nCjWxaGowm8lSKVI6qvqIkRHh+aUtpqqj0/Q2QYdh3vugJPn5BlHdbPCDPa+fqq1S84YdtX
v1ModC3vjXnFjcpRe6RvRMd1QNO2atOOR7UOYXYLO7isjjo/5jp6WCDOZfC1blgnPazujUWTFUr0
3jyIVJTAdVr/LjMT6Q5AdOepexsbsWSeYbposGOAkJvCIQRBFxOP9U6qsn7H4A8svvZdifYNxMjw
HMU4wSdd299ETa/s5bjNDv6YimsYqHhiSOX8lIbpN02H2TcvDrGDP0pCQMfC+vcOP5mdNnbBtSqa
5q5YJppMeBgW4BKXHTR1kSI1tGzobXlVUnTxIJPlzWAX3XXdf90Ng6cNppETBmjAaZLFk52Webxk
++QuANaxwZcyvQU6hEGEjjGa1snjFh+0+qoHXbKrkNZckgxRhTaK+WxadBajjjdOZjZEhwKU8ckW
kX4g7VEc7Wkejlk1jgdJjspTphUY+/h9dE4aH8TTYFrnpJzweq1JkkRd4m/jtpVxYJDrrWUXI0JX
oMsAoPpb6hPlJo3N7s6H9gQ3mN5B7jh0A1V9fz93WP1g7jw+RDp45E44fReSlAoK+bGhBu2Go6w9
jZYFyxvu6TPeM71TRdN48fGhAkGdp141hREkLPhxPJsQfPjp/JE01sbHj+yF6nUD1yZatPZzdE8v
6XdkyPOHlGgfJH6Rl+sBifLAUrdZy8PZH8SuX97BivHvoA+sxOJhZEBlTEA6aTH5KOhLVDvxbtNr
wBAwG06wUcfbOjHVhcY/A12rL7Y+daCQuQIYGZX7rFEAyQDvG68xtBaC8nGfCyl68CXbvJoKatrV
CD4UPZI73R/2fTpML8Jg7KQowYNVcKUoU16ADZDHl4gGwE1QDv1+fZUaJ4daG5RjbiqDRy6xOKII
ihmqLp3Buo0hh986P6vEBBBx3WWd+8dKY9myrvzvLb+7j9nKJ+QDft9nXVdVFjo0CnhuhmPgVS9b
rBxbqXvqMLA8jr6cga/gkGTwtslbDig9lkWIdvZmagt8LpdFVUyIloReHNZFP60VB3Vi7GDygEjO
MBkULBM1D/F7KsVUnkY7qXCwYG6d/O6zzq3rcBpn70alRWnI6cb6f7xuBhhVIlD/X++9Lv7jo018
BA5EQs4/1v2+ZP38MSrnY5a+NFMYPnDP9Z0iNvWD6qOt6HPtXrZNf6cNoeTOOX+zaRfxrVEV+3Vp
fZHQ7Pu2y+yLrkt70EXz1e4aJIVt3j73o1k52mAG720gPSAosr+Eomxzi9sBHHA3UHI1YgegvF0W
f5PMuIEOEn9UUR3z2Gnal8Xu3k30rryQ5z7JQNwvCAWqS65U4Rac6ewkQq4uvxvWrQRY/9pPYMlT
tKYrd0+0yODcvLzD+pJ1x9/F3hhNxxxqapb/+ZD/emtpTNALqf5TSo8qwMzlQ37fYF1MB3lP8Ss+
etYgmeduDDAgwjoUxxepD5GQqOatgOR4mxrL3Vcp6DAQofWzDqUvlkqptTdJFVxMGeOSWAb1/7O4
rMOpe7hEy2RdRwumssEXjSrIsvV3w7rfuq6q5WwrBlwB1sXW0PJNBBbG6+KJ9H5Vf0QIF+xCrl+V
YEL+1pfTk1kyaK+nxr/P57z3aBXr79QuhoZpjtmNpQFViYG4XSa9H/YFXbUQHCN69rGtOuipDRNk
uYsPphxd81Suthlj3VsZ1i4ZA7LXqV5LJNaL7JFvF7rkvK3nxICAos9CvOEp+uI3qfFZ6v5RJpEZ
QMJB15TUCaH0Y1G2Bvg+kgwUNLrvcbLPfp4Xn1oTv0uCLDV3Sxro6RrS9R43LAFqQQfpmc3Z8OjX
QwPTnAHEunU0w/IUZkgB1605Fp5nv58bZ90ap2GG5yVMuXXr1BrptZbEW7K8ExWP/Catq/t1Wyws
ck6AlojJo5uylaVrjJMQ84E+Rzfr3DqRs+B1VuXq8LtqncMNNfRifHx+XvW7VTYzcxdTiHLWdWYT
gpu0GnSnwEHd3/1+P0cesksjCuPozyr7zjGuVCiR7sfELikR+RRPlFQ52VannGR0VGjWI2WXzqBi
1g3rZLSgBrnSsk8tSVO1/X2N4kuf5VxCtvvP2/xjF92M0ZCtb/77bj02HW5vTqX3877rZj+N+Yh/
7DkbkuRihyU8zbARgi1vLw01EkEUrP944brh5yPXLxhmsr+1hXj6Waet3+D3wyc74RT0zU4+NGHr
/Z+/6Xfvf72v8pUFcBt+vsNyFNa5f3zZ5cv9fKd1y8+HdmV2EwN2RSq+01tLPhXLbusOvqhJ86yz
65Z1Mq2Hf50VVge6YfiwqQhdpG7YEm1gpzY2lyaJKrfGwCKIkJoFTf6uF80EQ4+exl4+GKE/70y7
+0tb7uSlgBXl6LNXE6wjhYEfhQ0fzB66Q5i2X3Xm21tippMFwjSq1MhTjGlB2dqfhoRFdtw5Us2N
HNCsAIdv2eQYG9ytrDp5Ypy5R4T3KJrednouO7ge00PtVzQXd49KMPJmyPwgYifXXm7OZoz+sqLr
iYTOJiW7VQj1PSyGs0TVcyqwRJxAMJRLwa+QKDok6H336IgZptrJKZKUu7pNpFs5Zshb4md0W/kn
QSyCvdyyahh7ZFJpcvlZp2Di4szFkB1+XxWQyfOyGuQSvqnS7boBDdp7O6O4qtoeKed831T3TSqG
24FAqDVrWOg5Q/JhpmUEeFnMFwkepRKTFRxysD2oOhOyQzs6I1JTYdNvqKfXXhlxAFsmU+rf1QM6
/qw4mcGg0/XPpCBb7KIxG7dqAWtsXZdDYNjNuKyRMP33um4mkABpqu4qXPQKS/dvsmUCjsIuzeq2
NcA1pS1cnJEY5nZeJlGqlXtrMidnXeQOot3G0CgQDDU/q37XN4Z4jvRWO66rLKlS4ZKNM3ahTbFZ
160TTfVVykQwG9dd/rEBYp42NT8fvK7W1YL67lTkh/WD13V+ODiG3WpeO9VUrJcvuW6MEjk/6QYA
wmWVTlr9apqSNwRhfFeUmwJB8G2rKNEdNfPvMar8w6BoF0Dk6XnErOp2nVgzrH+wVvr2d1069Tkm
bpD5E1mKJSSNvobndXdM9ES/Jdmv/7y2i4zNXPi4H4Vt4+a5xaDNT/EYmvXS2v0s45BUbesiFS59
vmwPS109LcFz3Fg3s0100M8VtaKqE7e2nUg3enQKlgUtiv81GfX6tSNreZxEugwL0fvg/kdjxu9+
YwLlKJ259a5vZMqFgXdFdIvhXXcti8n7OaPmMgroNW4dqMjNTVFnwZ0gSXanxsV96Qfjad1tnRCS
qQ62QOV+XVz3VaCse3pF5/j6qnUdiooUSUJyYQw3urYc2Ldprtm3cLnno6Z1b4FfQwlZ1qtm1uMk
FTt+bKH8X3eDgHmgch9e1j2I/G7lSNFO0cz5V0xRu5cC27hFLGre4iBWbZTQwstgnM3bdYPSAveU
S4oz6+K6AWCKuFYpASPOGxLk2LCllKxpbh9x/016/fy7b0juFDOzxtylahVvrYmOCXCW4V2JGsLD
niXZaCZkNNdsK3+r2RrkcPgtd6CeozvRNmhDtYT8wUg+1NJSTIUWL5N1Quwy45aFm6c6j0QbZYAd
noRZiL+Q+nzAw/+aWxbh6z3nLV5+eGvY9N8t1io+5tDHdQ675oz69bFdVELd0sK4zq2TYW2UXCYM
ammcXFeCru12tkrFe4wBvhTTQ/jTeLX0ecuE3fWLrM6kWVpGsYvw4XdCjIzUYV3OVtVDL7JnsQiP
ukVJUy9fAW8ilEfGqj/SK8Bu0CBJCsDdPa4TtWrHGYOjeuFv/GdWTe3PKFFhYDQ52Md1c9/PKETX
2RjsDMj/JKbMATifoh2UvZ8jZk1YkCRwRmLLoIS4HsWfzcBeTktWZgf7BLsDFGbIF8RGmjQJiV33
d+rElw8tIi2q3Yj9l6cr9wG+jsei619MDuspwg5s2yriLZyEvRmXrtqEtynsE3ecbLP+3t+jvc6t
/wA1rHAjAo6VhEvaSe5Ur04CsW8xajsaWlEeDAYJSRXXjiR3u0EYjym/WtdHFPqIOmT+YU4BpSYm
twDSz5LuxTUi5kWUli8d1+byZ61zGdCGTQUWhOdurxwbyBZBZVDo0kpIfEk6nv9xYJAoc9wMuwGh
aCquJGU++X4SblWof4oslDaafi6Gejw2oTH8TDQRjUdfXY5cNr1lilodkfxWRzuvgI6vs7ll98pm
nV2tV9e5dZKYfkW3kw0NY+mdLxY7llKrEOgQdPyfJ1Zpm/khygABLBrR5Weuk/UH/y52mQZZRsE3
0180TPPSo7gejmLVnK6z7UzCK8/Myfv9Z9bz9HdxnbOVAXsrBLzcvAs4gUy0pe3vd6J3Itx1Qj8l
S+/9eh6sk2hZHChxbOeoOa+rSl/H3CGwiEZWW4N+dTQwpJ7/ty+KP6nS1LiPajkasEU19jNrdupw
SIB8IZLnmC58iEpgY7BO1sU4gkKsRNJ3TUg5nDCGbJ25MXtcUaR4PJlW4WnYdLXFODlBhrVuiD+1
J1sVoxhV9nfkfr7sdHxQygWsSzyCb2yB4RxS+onS+UbNenSjySUrqtCBUUahdC7Ds0EvzCXwO5d6
e+MMU3bNFB4RuV3png1l9SRXrcsto6SETmaxrLoDuIFlaDvLd6jv1f084CBkWHjSms9t3eZbQRGG
Lvaux4ulCbZRixElTuBSn1EfoU3Q44HLTSO+EapiuJMySRtfarGF6dUt7H/wdPOjJtJDXpbk77Ak
ihrxWg0VnoVTugW/FG10hH5F253DoJYdHo4ok8Oi8BoEGWF3BvxKP0lMSVeSKb0GMUkVtFQuULZo
O1SLR3Sr0YVLioLitDuX6oC/sdV4JYiKxiLX2I/fjcmBsXobqxReP/f2OZiS2I0w2PLzWIZrikVp
pJCu7mXAtxr+5xOmmVX/HfsosmU6qdxx1q2dD+tGKtt9q4YcBDh0kTA40iJEK94Mgr6Y4cm2ltQl
RpDEY82XyaN7ubcoCuwY0zjkyU6TJoTAEv3+3SDtiChml/rjG8FzuLEm9PulZCSwiWjTsWZiT4E2
xwKPRvsmPzzI7WmfWHcjCKQ9FU/5TDMt7hkWDgxyzh9dotJFM98FAIOtwJLx2uoEzClUT6H03fp4
y9TjZTmD1NhoL2k4/9XZ6OYND8qKQbZk+tdC7T6rDDqSyiXqKkOPWdM0UG8MTRxz5Fh4JETPRdLg
gGugE0PB7aWkEzSBKHxO5NQ12gUpAmvZGdX22ed54UF5dfBlxh80o4Rj8VlGZUcwIebepStnguil
X7pK2mZB499NENfnyvooU1z1Ajl4n3pp21oMBAel95YAsDe08ESv3Fa3wy8JDqtTjHgTK+P8Ylck
LEhAKtJfE4tEuEZadNAUMnl2LN9BXLBcbUo9P+wfJsXaYoRL+0hIK5YkZKqtjJCk5DOplG47V2Pn
TWFabiXrKZTy3NHjzN/UaU5+ps+3uiEV5znkDYeWzGCkKDfBGLegKadDJ78z8g9dezL7TVffNwlW
rTV+XeTzN4ZdviptD54FQJKlYXrc9k905GrAjuLQxcUzc4gGFXeGv+rYGKY67TRmTmyGe11IstOD
7DJi8QRIrBI0SYL5SomPKtnLY9xXLIihstLtFS3Q2TY9B3b/7gdVDdSp+Irnl1lNgK+l4SfNuZnX
qI9YKD729EtSdYGWOpxskKlLbaMdO8sj1zZOnUnKjCZgw1e/Sd+AMDFe40G/FiNF+9Q+C5XdMmW4
aDLRP/f0eNPjOtyWzdmfOwxk82mHPa+Bu2we7qcPnLPJVz8kefemdBjKy+10K2Ii/25ecL0FiUCs
0Sn0Ce7QOZDJjp5hwIYB54RbFx1AsPi95yA5dYkpsKRJh3IkyAqFUrntjmMve6lJwh9LgZNWbutM
9+/wNmw3lHZid6zMR2PMPC3vuBFIYGjT9AWP+9RTbAreTd1GTtNkz/SLInJsGUOPSYRfEt2bRo2R
8OITS2f0uGmk9AmY/x3oNMtpnnsDAl0VJejuh4MVqV+FlHxlkfrZVBpmgTVkfpkxFBnuXT5009bK
KBZECr3sVkofUTgFLwpZ0DED9jdMxb0cV9dqSVTl01KI/as1JtYLA184pFW26YUD967ejJKxyJ3L
mz6MnagwyJYsjbpVMB4KhYdCRo+QAbwP1gt3TSNwY+VQZ9GNSSOGU6bFNUuK70wzD1VlvDcRA69R
3IZWmnlCTvc0qpAP8lv8WgYfXb01HFvczAJQ1V5FB/qm02KIPEOfeIaEG70qtZMj6fno+Zr0aUE2
Cv2eRvRI2whMpdTWNHbTWD9g80YZOhM7sgA7fSaTGeaP+ShvBa7eWys06B+mZyXSOc2k4sWWi/jY
u0FoLQyxP70WQhtPn6a5TT34Mw9hPX8Wo/GsFtNdb7hqZlRbIxgvM2jOxIA81+A/qRjGpQBjbRUN
nMFCpaImmkPi+7RpG7shkjwrwuv+dYrKNztIH4yyO48GPY3y8BS26b6hBycZOSfittmCZANN059D
wIE0tAFGq1PdS0pG4FLtaTXXJ1R5Pd1XTTGQxJ1gxsGHBhqAd0Wgv03t+IY3deaYqfTYWIBs2kh9
bbLkcwCnp1XjK/qyv7Tt0her7eY+OnQie5iQkbupXPwpO+DlERymPqGjmuNxLzAR2xWUAej508gd
NfOOAiQwteYQdN0dnkZ4CFrkx4fW/NuIBjQFT1g8trF6zwXIXwDKjiQGLC/lHGxTelbb/C4BzeMo
86BvhG3vRsM+vGYNgD5oQ4di1Ft4+wnN8hPtESE+mrixnzDFKK7ohmnhM8Gmq1yRpU9mh6xwq3/K
WXtO5OGl40sx9HuOaMKA9Jk+2bV04s53T3NZ6XSdyaEPrgrO9IWu7tp42I+Fv232zZBvGw4LNwlG
/tQOR4faXkT8P4ACNstrRJZq3+KnJjcYi432OSlgfXZaQj0l3w4RV+9g+X/TFAvlhP60fKyfja49
q3Z721mpi5/DXdkGb3rGuBEJGdYNQ/pqoqmHT1r0LqUZXB4E1p8z5wYVAbDxOWFDrQxENOPG0mQa
jLudYJxxsBktF9kV69GaOCCSyVVxuXTPRktSeU6t0YHDc5PGY+NUJkRAWdBwpGXBQ2Gkf8t2rJ2s
TQevsjscIxEd1qF86GX7j6kRRE4h5Ow86E9aQ5Rddv5b13LdzZ26NYB5m01/0cjeQU5JPBB3hpRS
Da18UKL0ToHcfYZBSKNTQApNI3dY9xoH2eQwYnkyc0NXMq9TTRvBv2U5fTxkXnbfZDCi+kSSt6oG
s6Gpoz8YwLc+bHsecESSd/aXPHbdWQFExmhM31t++yCJCeym3b2JFtL4JEX0vXRvdWNvgx6kaBPh
UWwntpeSIqgpcKQ0xnu5LHHxEIRVInargIxAJ8sZGetkn829dcBk8tmMgPfwBO/68ktpiY2ngcuz
gK8TR2chFTjMDTAUY06XKvqjcPvxUCfR1YR/zxxV5yAqvjEZDR2hdJSVtEe/sTAqyT8UyHXWXKOS
UHAE8yMLf8780gXVySBYDNr82tsUDfEXAXV1QUD0RKz9ZFG0cPVg8YpQx89JZwSQWP14tWweNcbk
JVa3OAzyNDcwkIobOKrVc6JWXB2Da9SzfKP32UgwniaOsIjBjJS+jSD67slntye9WAhZ+gjvbRwe
9WLYKKo+ElhhmhGZsB2M7lYaxvIQScmtFhCQ40mbq3q+08hMVdU8ENCG/Q6RttYYmUdC6NEIgw/4
VrBTE3r2QqXiCuCkkb5J+r1HRXLwDW3EGbilWnnNSjBmIO6Fk9Jtu5/1oPYaiJj2ELvxrF/qzqY3
tfurS0esls8Rxqw5SWiAj/TeJeUGKeNt3AuxlfPqFcjCsctniM/Fgmh+qwTG1aOtINYvwsdSmERC
9EBZJAmcSg6IO4sIzCQt6Lm1o2lJxxrSHNzYQNxjTKhC9Pe4AwHZDxOe7Ya6Fdr0oMrGuYq5AkOO
cCIwlaAq+Vc3/d5LW4jD2SZUjF1kjG/zeKRz5jGlI9XBF6TaZArHCSvxK0oM2kZmxusGWqV2WlLw
+rMEmW/pbXOhh7yozUlStgaGR46tS/eiENsewO1ykyocOKhIoSYaqHcLXQ73j4Qbm6SdQAe+9qH2
oRrStPXVHlgyElKIhgxP0xS8HRGhbnP2FxLaAQITbBND9CvE+G0UwkhKtG/NaHPHGEn361CTuG+S
QtTBC6ryXWTJKlQ500twOXUkm7PE1NV3Ei5/8VAuT31C1VqlcD9hVZSoyh+AfZlHqwwCSk3x5KTQ
lxdsInLEnqpS2LeSndDh0irjuDeV3iIOiEsX1FwDPaV9iZUKHHV7kiLOtqIWTpOWj3GaI0cyjoAx
vbkgfh5aG1dfkhSOkYa7AcdxqJ3z1aCFvRRfk2J/ltkcezSylZym3Z2ZD69mM3xCEt3P0+QaqvJW
jJEOLXkA0Yv4wh9rHT7JkLvUQeRS3PeJedc1FrKMOLv0VkcBpZIpZNuvsd7iaJ9pD377pxMyqG4Y
ojiI4bgjm743hvkl1cVZKAaXbtDi50Qdo5bNm5JRR1/kgxdG8i2GI49qjyum3eXbIJz+hL7e0wto
3lFQwcAl9mE2zy+W/ccyJJpE1IXFl7Wj27YxATYBJvi6wIvVwpug2GJz7vR1R70h3EllfsnTR7B5
NsVOf8856dZlqG3GWGEk1ivsqkb5RlINzbWOTQCwk6QfvQt4g9sdPSe5uRkq+UVKU0otnbrzR5h7
o48ZXgoGrTI7N+jbz7Ci9V7XDsQXTZ4SYAymoxNVMvoabuTkQCStQx1OcamKbFcpeoOPwQ8htSXX
pzc3rzTFtaz4azLDl5A65TR1mSv1sAFjW50O5vRciCjd+OouFRSkc3SoaFCDjYEPTCG6lyQPlgw1
I38/5l+zjdrlgUCtpFbItOJXJ+1iRKSTkTyOI09vHVfvbTkQcvRGS5mwoTwcYhJtmzYM5a/SxyMj
CctrG4RbDSORrT2NpzJRP1IJwW4YQ35feENV+0lH0iMF8WIr0aPiVFzxG1syGRvaXErD0FzzaWtD
AZ4m0u30c1WenwTQ2QpkgRVKhJSqVtyg/Ut9ciFR9FX46Vk2JaDmcYmzkK9TeoqafQhgw6FpyXTq
Qv0aNLBT6aNimDmOW8qbqUh7cx7Jn9h082jlV1GAOoXX/QVv5p2IethWanidQQ5D9k0SFzdYKATz
TR1i4Xo78jTlUkRwmL/TEkPrd/+Nv+XVt7FYjrhHKRidZ735ZCvjaaqBkcCZw0teq2/6Wrzn/Fkg
Ue6ixFZ30mK5HJbTOdVlqO9R3m2jiHGaTOxflsMT1yhtIDTVL7dDY1MH047XUQXvAsC34QFbocdE
USUPB6zdE0JS3xkqn+6hL3t8riztmdz2g5l1RJs0puozHWdYVyOdOKWJzTCVW5SvEfBybdJkS663
qmmveZUN9a1S6KXK6JkgYfun4OA5+aDdSWlCylBoLz11SyUYeg/3n4WnYgfnUBcPwWzslZQAXQSY
8nF3IgKAtMcY1lJht1adRqMxJGESVrd2GNyVf7nx+lR+BpSVY9jfpYKRmlGjp4kHbFGE/BLWGDVM
aoEf1PAAgDTd0sN1G5v9mbICQj8pvYo0aD0GgedhIbdO2r3yHuTWu9k1T43MiZnoT3hf3KtG7okA
n0IsgKGAYyQ7HZuaqwVZFx3i+0aTX7pW/5DMnrwynW6NhnddLJOMiXn+m3OkoZjoD1V3TSo44NwA
aINb4M3Kq78MXi0pOM+QCkFqnxPVmEncNZ9lNW4rU3pKsSR2zFAb3KEg8JZ1uhl8zhaimC4vbKTi
QnZ0kR4Lv/3IBRKKsJuBUtL+VHf3ZipOWmY0rip1xFQ57fcygOoxliRPLP68na1skIJjRR8Xn2EW
7gFXHOso3MqJ/hVaNXmqmiogTqpYKUY7dSqviYGhaF2lh7LHMrWTyw1d4e+J0tAuquLQrUebOKHw
HLf0v/k54GB9w1c4deGNGeU0CQ/nXFLgOxlK6CB69Aftj98iofD97zmXHlSshEajCB+k5A1mYq7P
qisFMt1Yg3qdYI95Wqt8ml17UO3ovhiorKMA/Gr95WCH6duk9M9Jjq4atwXoVwW/ORquUzJcipj2
PD94J4R4x1g1dMyi3+rl9NaViy5P5kEuZTYdgXMBe1yl247YfMlUjjuqeKGnTaRm5UjFAF4lmxC+
2TqOFEmTn7MUO6VC/5NZg6CCLr3OwXCWKxDSdn5RuYUL09q1RWG52QDkLm830RC9RGkt3O9KLz91
Lf3wy5JeS7W4y6A1tmbGzcWocVvSW/B4pzkfNj7+8XQ5odVWyhM6o3tV6mlOR/mLymI/DWAJQ7xB
41gmqdflPWcjPeez0DyZmioMrgAtSD64stvOY4xTYpRs58A8oaB8N0T1ls7zTQ/ni7KaceEKeTYS
aG1S59l5QQ+mFezUOnbNoaPhWMItKp6viJeOUGvnXaVrGx28Ac8fBT/K1LVUrq5+lvs9ng5Q9GkD
H60OyDo/qtTsP6NJ8sYkn+JoRHScxflFS586kXgYqN7WYfsS9pTAl1NwnrCYorFE3gYGJwr6ieuc
+jsy4i++2V7J3N74gPIZJaBDSytlgwvRKRXZfRuqr9loCAZ6IWEteirLhvIkWh6MeXS/tgoEMkkZ
ksflntHYPabaL2UbfzL6fUAF2h7A5uOpPPseupcXvTzXpf9KeEA/RkiI4pOoP0sUcmoFs5Vu0pON
lal7uoxI68WTRshQBfhDSufCLKUrY83nMSO3O3fmFr/s3Ct0Y2BMP9rbbAZFM4s02ef1JS8kCgS8
wcZKpE/Gvc6EFkJEvrUfZwndZAayEpOsYLSCYx8NDBohJ1Dbl9wy1rEtnvTd1GTKUUqpYFUoEahE
mAzUrFBGnqHspsmuDsjjIqee8GAaFS37I00N0HgzaXbr4s86MPQx12WT+p6JhAMQf6nyrGoxGzez
Ai+Dxf1pfLFEBIwbAwvDHCe3sqdDYSJJR+T0ZpBHVgT9p6bWSXt+z3ZWCFQ74ZPpA2LP0OZpTutm
1xOh1wPPsL4mARm19/gLv3dtuii7ePrM0nAQSm/vTP/bxLPTnVLlnT4ynjUN7W6xLAJ8jtNXqQOo
WmiE9sag/PVzi4uGCDvz/Q8tFp1LisjywAYIWwPiLOf8JoPbklUdo2EJ2ULpFJr08PnmZ2irn31D
+/bETdjv/AMkZgDpZKxaW322E6Df+racpEu1fFy0VGA0g/apAfK9bT3BzwN7mOMsMeduP8XnWTb+
ZOVNGYveidPhPg+oPqeWdahLQUrTvElU1OSm9VWPOhD/oLqd9PQuXkoHtpSRNhzrk5CDwW1qjSvC
xgUeVdkRf4zcq4JqpIbfegTXA5e1dsh7gaGOzuhtrwWhADZBZ4dsQCRQzBImaqKZEBqDehPr5U0d
9y9jthgtjnG/87Xse4jm5tJC2ghIb8s6I2UtsHnAThr1AU3b2KH8Ek3mxQ6+1UajJlvjh2Yx4Cwj
K+f2GN9nw5OvRdCFLMZoYaAFDhJrZ2xhOYzF6Fp2zNjZ1AeHmuoujmTlObG5W8OOZXRLimXM8IdS
opPoyL4Yvbgyxn4w5Oy5yax0I9UiotEieIExgoTdUneomWSXRg9ug0vToYntEJlDklSdu6Q9N72K
WF3lP1aXaussYQypJ8kOI1NepZ40amFb2TLeZ5T82UCq0u8proBQQeJOxX1oR8ZwEr5LVp5abmIY
Coqm/kFJAQLKGsiXvihpqyJhpZdfSVzBfsmHfTqRZ1ZS3T6o4tBmbedMAYWpZib5ZJrJe0eSj6dN
ITk5TQ9NWoSHIO6XAFp91ZG4OGQrA3AnY30rZxmFFVX/KJbSk/9WkWFxlUQidm3PDTlL2mTrY4A0
sCMYufMNzsq8INnZyehO+muPvs6lR6Xc2LkOJX2i7GEsjjVdRcYvmruBehknDGSEZFeHUCoI75yx
Trq7Cs90r8HeaAHyn8jLXwK9ctOOvM0IUUMZSGsSS5WHuK8gfvBECCvhu1UXyZd2kLcZMaUzmSin
oxnHciHf2KXQdkLuqi2EyMNcxaZjJPkmVDFsmQMeDkEgmtNAvj2xaHCPk/HJyGkyldtHqmb8//lM
6w8ZWT9q4mNakFb/H8bOq7ltJc37X2XqXC9mATTi1p65YKZIilS2fYOSLBk5Z3z694eWj2V75j21
VSoUO6AZBDS6n+cf2LeiUxtZWK90G7QYUJEos/DY2ORPy4qgfSEGBVIsepCJm66nRvAw7utPSPSs
M3Nef+ZQ46Zub8bMpEmYP2bWJHa2noNmNvLxyqjnnFAFnAb7DTB8dlyxrk3wE4e7sTYCLgulNyBg
1wQCudHYZlnmY5pU6dLWMm+J5EoGlhPWaxEtsWzLEICab8lzMvAW8cgtLJLKXBqGMfsplEfTiJ4a
i9/W0xprF4UxACZue2g+j5XFNy5N3hI+EZEY32JaIyVjOd2T6ZoAi+P0iNTncPDzG5UQCldUtvD4
r6yDuEbuu67Y7vHeWjFuMBrpyDqzyrLJ9awtp8iXkd/tDDbu2AunWKy2RrYlWSzQiNm43SkPMG+B
K/usWkZzm+reuovGJ9HDuuzs7qH24HoCA6q2GUY0TNHNeQgnOinfDFyCCOv4L4Ww2pXttFc+OVQC
h66OMIo/Eja3ilf0m/mJxujSqa2C+bQDA6ZzsN3IICaUBXhanQidjtlIi8NmxpVsesitcSPB+i9O
xtgw3QyZvkeoJJ9YVphcc0ahvQ6++azq37phekV6BnMLhMLN8jLVlooyjkcc2ntGfIuzDd3aqAkM
ClKGqNfUkEyIeyh9d92TY7Zw8YmCbl0Hyme3Mpx1q1UYroVxfiLzZ6+TycEdzyCnQ9prqWqsdNjn
QO5lxcq+douwj7FEEyNe8djeR8IbryxPJbfB1sfIgOTYfj5sFLTgwSHfNUqibirngsYFC0N1fOwG
bTfVKlHhoXpoOjIiVt8sdT+rl0PvaiwUk4lP75+CuvmcWKTIxDe9Cy8Ou302wTwVu24AasR2oB1I
QAeuwpp9V8EbP/v4kSg5ZtaYO636Wnmt8u6z8PH1SrxT3IKtNNrX3iGgX0SE4EFX3jcEBfB7c9H9
zSyCH+Kh89geRqg3rCHoPCszey2wx8NgY12QRtGNYhSo55sjl9xU5IscKMpK69jz2bMmfl1kb6ro
X5pOZcVi9TuNuWc7i273efICdgP3StRPyfeyM9bt6pZvFHFVBRHhFzPZBkjgAjZcxUq0S1UMnStP
XMraja7ymmtblCufH3kxFi7wQJLgWuma66Dp++vCWQvQsytnMHDbaJ/HMT/zhI1YBYuFUUCfq/IM
HEixGaOZsNuw78C0DYD8VLxGkKzYKkR3uup6y6Ak9BrkZsgrAieJn7fnzIKZq3wl1t5/Ufwd2VcV
aSfjuqtJs01D9tW2Z20Wg61RVQOs6/ivaOq09d2pPofzwST6loKkvZJVVlJiZUTkoYgtvm09W9B4
wy4F/ggmV2cuxVjdUVxU/KtuXBUl87BXaPdRG0ZcB+pTjbzEStN1e+mLnWNZ5sqY3Cc/DAxYbsS0
8zrt15XHRibt4UFEi2rIy3051PedXUxbPRLhuquS6wHIGLljsnOiSsotNw/Gxk4boyM8kKslE8cS
jjkWlj4yFUSH16Kq2+uucG6TjB80m5JFWmjVdeM2BR7eG4eHvlOgydKQ3kB17Fx5I0F+woxNMLz0
rYaKuE1aPmq1R2GBLCzqL0WJkguMLpZC6dqt7HNKRmxVTEa9ZNG69qAOdqRY0cyZjTb6t6gaV57V
NdgXXsVVO2wQ/ga56F27k3/yLfYqbMs2sV4Ey16Jicdo/ZWG/wCLnOGNKRfxKNu5aKK6KduYMIzl
PyYj+U+D55KPgnSljN8G/IMjT2jXoSm6VZOl/kZJcEYoNeebbYLRTJvHoem8hYEM8tIe1aVdj8zP
Yno1BmdXCWyyo2+2xQU6pcnXcoBbq9oNaz8FE6Ns9A+9KB6qGDBFw8Wl1/fwOA5uBcLH94K1F1ao
eLT6wnaNrzPjhIU46iS1q4ulp9tHHeR1Qv5l3fnW3gXycwVR8UGbbcb9QiHbnvMD2MZrnUC2hEeU
E3zdDJ6DqE2U4JdMnlq38ShCC+TKysdzJ8gemIb3ObiAQGFWWXr9tG51oPtddRrbONkCy9iPnXfG
LgTqC7GIWBuA6tiM6Y/jU5qZb9U0nAyjPbNKRbY4OMQePbg6FQBB9SY2Wq7ueXVGHuVsRYHBcrZO
iZyIXWk2e23ABz0d7pRx0k4tWCAdHPAmD3dpxRK3ccWbHot2kVn1k5I3E3GumIcBv5sOM7ME9FQ5
waEhl0bM7Vk3muaoYRYbBc64UZrGXdVTvnSNgKslvElQZlj6zPV5tUVWaQ9mkkd5rOrw+4sviYWd
mDcIHKeVN99sn2MjfmmqYOLq17d9yf/FCDEvxG99Y031F18QhIyimU4fkUETeDzpueMvDSTKiDCQ
sTX5mbuq2wB8Yoa9iprogf//rf1SFZW78okXEKYl6F+76kLp2VaZ/ttQD7e1br8VSfPkjPUdWQhv
qUcKOvk2xlkuilKlx3bA0Gb0DnlUBddgywCSjeWBs2jTqWTLr5J1tj1xQCjtRfN6Z1lm4MTmbFbW
QM9np5assN3Zd4OF+MPVKMatzR2U+fk2ZeL2LOWTaMNviJtlRJ7LYZurwNqgvwfVW2bXT/hMEY3O
8nNpbDSPJydzOurK7i41OtSPsxc9dsCmD+vWCYHUqUaBLwO802K2n1FGAHae9mrrbyQ0nXUwuacB
SNoq05BGAHodliqYXje4GsxJW0RhcCpyBddKkR4t2GpxVqbbZjTVNbA5k9VFv2wza6v1g4/aWFFi
wVLe6gyMwhq3f2xcVWxKfRiduDsGEK/dsmGG345F9Bbk5Sw61exFpvC9ceU0LKI4LG/ZhM0eaGP/
qE2BeyCysRxqvMcdM9TWg53dB0V1ES1GEMhU8zHCVZ+CdXWIlsP3Nk9WzFaoJF2+DEcV4yoRH9HU
uwH+jejfUJCxGkhiDJg7gZzalo1SrPvi3EyqdsjSbtNnir8qYxZlRb3LM411KzHhMAv57w3Z2gmm
U5gyAXlBma3VornyHYzbfRXbBRBHmqvUazdRoCt3n5KhWlddzRKg8S+KxqK/z/JXn4ReGWFG6fpK
uFJG/dlqyrOhNrvUTcZ1o7HeTZrYIh4kIAslKLJ4/aXxxUthHHzBrIlPoE067JsLxiE3TGjunfuG
R8ozwS+jdB7JoGwHbODgtBwEm9LAZxkx+PoZwso56NVz2LegPbR94SfpRiM8YKXWZdDdGcrDcrQo
MVIcwboWlf5UD+E9CEuWo+hQmU0HUSOzrrNJ3HkiujWYUzaO3W7jatq6hXbl8SSHLLpscxJkWFOu
o4hoJI6dUVgt9HIQK2CUlByfxU4BLqZOiZrD5Q7zYDt22sZuGlYlBBtdPAsWhZIcjaF69aLuNa7J
VUTTQitvk7JtuWmg/Hn5Jz2wXsPBfGu7HL1+fSXUpNgifk++bERYoWTXbgUvhGRJ2BdZRfBMOYt8
ug9M+zGyh52qi30ZsFRVGv2I/A50DwOMTssD0ayddnH8phnKulQLHhhIQ3SusTFLnrBq/1JlyAbG
L4Yw8GGL9wR1byybSFzS5E+T566qcTK2QaM9uPiwlqX7OWhnRHwYHJUeIAVAO1wg0uFopvie5joB
7tR5UFFxa738jOBRB/Kquys7YjGNDxk2t60TxDEM7bziNoXIsHCn8Zi17iqcTFyU6ELG5CjQSSHN
6mxMp7oVZvpc1XiVKaqN1j6ANLW7dw3Cy8KFVmA6d32jsWAzV0y5ZKDRSACGazzEGHRCN0FezBTV
c6a2KwWUaolr6BDqZ0uz8QxFNzAi5t4W3m5+5JEXeJqy2FwYQQY3HaqPV5o3paivzWpwluQa2XZj
WrdQSnFJWqteZ2B6egfk49Ac9JZssE86pVK+ouSA1SOx1UVfoSAJLlW3+df25MuTRGNfau8JwTM3
hlrBc23atlr7mKqEwFBFmhnpWwVid+1aLEpYKPawVeY0IHpSIbITqj8SHGD169VfSkfbtJVxbG0b
PZQCZ8iYORtBCzsnoNk2p74wmpOWh+2JAMREWq9XdsBH+kWtFMM+rY3iNjKU+JZt9fxaVuQ1/Ed0
inhsWh5akF7ga8vKVOvt92Y6KkO3xtawPMsq4ADkIUzj88cgUe9HzOPOsDanurglDlPeAhe7K1TE
O2SVwN71unTV3XuHuVeCgemGTxusPgYikA5Lv9eVvewH2Hq4GUrs6+dR5QFuyS6AUEnamk8m62qr
bpYg7ExkXP6qS0JnqSHqc5Y90O4aQbtEBLTNuD8bQ/f9wN7uxjGy/uq3eoO1AVI6PQmtv/prpYWK
hXEkT6pff1QnWKtd+yCM5KCyPslHrKcC88JeZFPopXeJ8PS8Lz2AU3nRN1eyaLl5PHvATetwiNp7
t/KTg14SS8z8vuXJ0Tg3eCAsE+g3zTKzh1OvMvnKU8fKrZc+YL29LEaJG20hNhir94F9rz/iVUjQ
bH7bKkF1Ltbeu8q3ctziiayLcZLv1IdYNk6e4xOQoHvflumO7bSylMUQ5umpd/WHtFT4HKp6FqVW
38lxNM4klFGVRzmQmQHqKzPX28jWJjKXI5heWDVJfiMPZlJWm7ji1kIqKwiWrZWjddGn9VI2g2jO
b3jDcFfhwcwsPvdJwykAdUVS62OcuB4H9gPZliCFvmkaEZ4JsQebvB+SCyn4GTlQFDdI1Nmr3A+7
2xhJzVWNqsLdWJXW0oN9c8/aq1r6vZU8NkTfuO/M/imY0LOzE9P+lA1mtkiUNv9iVMUbprLQJavs
yemi9OtQZNAGI/GaTQDZEyf/1gysKFJyKmQ48mWnFkwck3rxBlY0i+pItApIbooKjWFFwA+wJma5
09F7yrcBuZA3EhEH0Uzla1LZNzYI/5ewjz47WVA9q+wJWL3V7med3O0ijpJxExY+1iiuVt5gJo+u
ZmIzBc2Gy7LOjwsolZPC4qcryxvZoPmazSThFWtZlA1VSHAo8hOF5Q5Dvfcr/GFtATFbyWIzD5Db
urPuBgdFvR/vgddzDnyaPJrZl3mwnCpb3ShCQ4V47iPHd8kJbofS7N4/qmzIaq/dZjU5LdlFjj8o
Kjj/LiDfn5fg2WCk76Yuxi6SFOgZt6B015ZmhCVoEZy4zZR1owzRHSIG4bLSzOZLmijXuln0Pjni
m8nxgm9laj4D8Hafekt3sEBuoM32dkJUxS0PSpaLg633zobNa8f9n+rkxUX3qfe6T2aOlEtgrmEP
8A+a4ukmswvr82Dp+dL3++nW1cJ841opcjtp3V2B7ne2uDZ7Z2xN65UoY/URRGGEYFJwKdX4Npt0
/VoUKUILwupJTZALbOOgvObCIVHk5/F1zNZpK9BaOMWxkWzbEpWUJCPBlcb9eIpN0WxFBqogM0j+
t4aWnrR21Lco2/gnzdWtLTeKfYxjiAA5Ey532VUG6GRbQO3fCTMKbliNsKTTbOurn1yhK2G9NuzD
F3Xjj7eya2hOClGZv7oOXf1bVwHN+VbF43vbNSazbxvfgZ6KjnifbXsPbVPUlglnyDoCntuuLPpg
3WMXuioqlayf19+keo2zcuRNaz2c+ht5wF7WXgrkJDayqM39tA4mri8Kc1swtWHcHRHLRtXH3+th
ObyfF0QElR3dq65Igr9OuPkhVEWkH6z/pSlcZG/gKbEbdHY5LipgLHvIwPASbgSqwitAO8Na1vW5
492wugejj+ImOSH6yTq7F6t+RJ5JlvrAS6+RKNvJkhwIfpq7i3DPA87MGPJgGqaHcTP30EcdeM6K
VK6l79sf/ch/rHSk7c6yqnCdDEm3apdXWKgPSdKsVL0HXUEApdkokcH/DjvIYA0bET6mMsXEsvT6
bPNYAAgwVxKbjJfv5bqsEOAjjvveUxYRzifUNB8+hpANuek3Z4uUOprTDjIwfX3WvFHdycB9piR8
CC7M/0+lb1rqTtEI8csTZUd5kA3wUEkHzydPUwF8PHatvT9vQMugEtcd8Z+zn5bAWlAN/ELUsCbJ
Y+YXvUCowpzg4+QtCUdhZ2+Znrs3oQ/xxi2Jp8v61HbvkPtQ79x5uVuW0GKUoKV/lh/yAlUoc8Rt
2huzci3r24AdUd8WT2RxbMSJBuxVI1KXqYnlrBb0yqG2uZoW8mUz4lyaDR1S5qZykFVVFNMqy+8v
Ze1He+dCXEtS5dtv9bL4W52pO9o+LeN17xBDxfdqPAT6+P2gqvVN2PJdJwO8eBrY5ictgnygFnHx
haTdq2kU1rNiZ4+NpjV7wxLG1tGiYO2mAtUPNOAfjVwjfQbDI9Md5lNfQ5epSsInHC8xNWbCBJWh
rGsxHhxUtrwxEitQ4cx/2XA9lmX6NhaIera1/sk3axUEae6wY++Vq/5pp2sdsqIqqfuF2gt/56UZ
W+sGapejp8+Fq33Gn1y5RTA7P2Q6MoOhPQFIGNpNmRbJU6eSRBuVRNsoULi+WN6SAdJ1+9RVfnGl
lVWyUSGI7fPWTx+dcdwTjMyetV7ksJ4875AGXXTrGf43+XaT7vAfLIf8bOdpd+35ZBmG+YT5c4Cg
JKcVgQ3MLN/YIif5EiFJepIHkQ3tqTRa4LWmg8SBwi69BCB5EnpoDAvZBy7n/BKYNhw44/C9+GMI
2T0tiqc0TfLdx9CJABZsKF2zbkuoAcMw7dFtca9lKYshoNkdsveyGFWgWICn7nunvrZJCDb7mggI
6DA1XOalUj2NHXnVKDPKz/ZE3jockvo5T9InYB79VyyaTy3r0be6s6BkZT4O9vm0yB1oAguFjfwc
jnZ9+C3pAELG8Y2Zbp/CE2/gKc/icrldojCna8UixFp6K4sfDXGipPggg7PsCHefw0elw0ZcIEh9
dKygdDd1AcS3H6x6H4j2SpbkQXYx536yWM7sIqP3iZc19k04qMo+c+B1pbDU2aV3iCjokK9W4dws
+1SKpy6ThJhoZZr04bH6lS29cvV+iq4ly0r3zfN7Z/5P1xrOEmZl2jcQhhjkx3u8n997acWVxXvU
QAoOQ9H0m2UDDvvWj9Ps1pu3HKFagdX5UefUbbOKCYEB3UESDuaKfqlUxzmWelQd4bI8sSc271Vo
VeiNWZeitpGUjcCT21yIR9loomq/AgdS7NQCnGDTiWKb2eBdk0b4D6GX2+uiQxxBjwZ4VNA7Mc/p
oLoNqXU/JaBs3NxX3jbk17y3rGNJKqrGvE8Zaw1ANj4OpghWRZRAIAIpcEc0cz0w1kWYwrybKo/A
qa2zw4Rkx94cUXdhNNFCttqCTOfY2N6R9DwCo2GYXBe1VV3bINZIoVfhS2mnV1UWmY+VKGw4FT5y
IFMaPhUKAYS5g/3rmeRSa4LqTvACXuT9TIsZa1mMtX4ht0TE3S6T+z6BoYSAZ3gTeR66UVqTkyJJ
7G0/Wvoh4hkBHCZtyWhH+ZH5rdmOqWpfG/w+azuOxU2eYH8Xqop9P8ySRejxLsrScLZ1603jIp09
GFp71E6kOhMCl6huzVUZCP5TMR/e+zWVkeNtoXw/Q7Y044hDcm94WBBCbifHvQaR2N5aog3uCgvN
ihCht7UsygMdDNtqb1nZzywghIc+Osg6OmgG4UAiIP3ec1sDZ9rOP1hZUp36oE/XcZo0j3oYfZX/
ak18C80+eI24VgmmjxhdzOc4SBUdjPmcxCamUEVG/TiJOX3Qe29G9n5O5ibaQnfS7+eUFriUOMkO
UKrcg9aM7oGUJ/mtXichUUaZv4l5NlS4YdOUyabfX7IIFiulDTfJUKYtJgUGPD5cdRc13x6VZ3zU
Rx8RhoWpOhyzueLj0CQhBsCgXu8niLTrdsBxvQ4HccwzPV6HZqQ8QZI/91yFr2bYXYy6F0/wFjLS
4vW/dfXS9iyXrkYwXAo3/N71t1GNScVjPS9jwojPepWJB9Wrinu/+6kQds9aZ+nvLZr7U8vv5xRu
0W/rygOEMpUdzuK1OvCMhfFPQlQ11vJlrCEIEM6Hwo1QmHTOKrpdhyqe92vyZYYGrYKn6q+1sowy
fHU1CULW7qhcZaZ/gDJibBNSxVdk5ZUrWQ/xneCprNTSwUEXee5N0s/NFrJXa2mtuZMdalkrX8pD
6Zjkyuw2WhQoZ3zvL1tGzf/SulVwGJnnLz63xi4ZCMxpaZldvEzLLvIVq9DHhmTq1Uf94PnazhEk
7uWpv/YFbfq9b4N27wKNgxbZYcc/yYOJ0CfXUWqs7TJFu6Rp4X7Llx996pF0x+99ZLOlmoi1dBjL
hMAM/XsF8fdDljUq8en5pa6A+JKv5KH2eXYBTwoWH3Wd7ozl6aMcW1O8iVJ0zOTJUBxRavptHMKV
JGnq2mK6csiR/TQGCyd7mY2DCr6mgKuFXF/nhheEDLKLrwbZpUxGG464J1buqKc/N+yaDgG/j9pC
CHtFplWs5InygLRydql31dxTVtQ9+DCLJccWnkaK08zTRLrxhBlCuZBFqEz5thYoLcmibkAZVeBq
HmUxtMIVD0j9vnB1/RKnxr2s7kO0WxsDD7lozManWiPVyxbC3stWxVTPOGlONxhlG3d1Nr0P7SZG
e+ijtkBPiZPIeIxrdIXYj84fS0tQE8xNRVz3+Co96R7OJP/+aY3507IMCzZkkoanj08rh4z5tGmN
QHMJS38rldBTHhebJvfBRc9i6e/q6LOe+kexrAOYaC4QGtkqG6YhYWaX5UTNPidaku1kaUzLA1Ml
FJ9EW7sRa11ogWF4QdttWNXEs9dDbY9AmYJ06SFUcJ2zFMI6yTNJP1TIZ8ne7yfaIgA7XTqzr0d4
MZU6vIA389la9Dcx/hdHBOQPrTI4T6rO24/uAOvIdS9lFz/Uc3XmwrOpYtLpTRs7T0MjoiWB+PAo
WxsrwhNjjB99DfR0Y2CxM/SK81RBGttkVTRs5Fm63hOObKPo2lUS93GKjvItHaVTjyi9kgGc38qL
IhK5VaZsZXGMx88TvrNoWNXFfe17a/mWbkNuTJtwvm67RH80YI3FoXNqEkHGQ1UhF2NkdcIp2z71
pUnuJdIsD1yocTeOiYHc0I/mQQHD8HHKNE0jkygS+yaPVmHCOgm6Oz9ouzuMlggdJoBDPZ8ikjcY
yPTj80cPrfUe+kgkJ9kf15N6KzqIlrJYzQPOWdx5LHlOX6XmEk0Rd+sKc9u0Y3UeMvj2LACA2lcK
d6uKSGYrLP81uGmDLn/FwykFJ+jPXgMGbNupcSD699GDadUvrlCy19jTgb9Y5Sehm+W6QZnwSDTS
OhWTVuKB5NpfIqVcya6lQ55P71XndkrwhhvVkCeJWfW3U+F2C/l+FiTFpLPKZ68AqqiUA4sxJTYP
NaTKdR5azhPAgZPs2kT6585R4SDqlsaHIqIjv0Pu9eXSZh/113eI2UO9f4c8ZU0lv0MFa+ghzMoX
4LvdxitjY5Oo8bQDHJCudIQ9HmSxq+JspQeq/mA09ffWyfXFT0U11ssdSaN0A9uZPIlQokcVn/SV
OqrVNWD4fl9qcb1DNhkdUSVMVja6eZ/GsXsCAm18c+pDnSjTW1MyTSBCHkEo5+zJ9arrmnhm3iK4
0IvsuU/LYIteVor8XdIXRyJzWEbNr34rtog8YzNsNEv2AfQuy36EHYENtNek1nWiibU3KOGRtJGz
TIi7rmV96ehggSA6Z0dh5uu86bGM8FvOEG6I8Ys7OO8D9HthG7hqabO9nm2rR8MACzqXysgHxZNX
43tjVwXauqo6FAnmBtlFtrqdnh9IIKCiH5GgQglsk1S+eTKIb56s+SCLQdJbhwlzSVmS9bKHlpI/
Iuljo0ydRVDf53P7HI+jwEw3Aa43SynADtP1oUDo/y70AUzWGjgLKYRuT/WD5TrxHen04L2+SOxl
q+n1F9Q2YJt3r6iN8wwD/nLjF4a385EO2jpBkt3FPUmORlG7V9GrSwSg22cV1aYVMo7aNdKpOKC1
SbgZSqV+rFTtwa/iHkkdjLLGzH0yIzxUIs2Oj21R9niAiBHV/tG/sMeAjJ35N9DK+6PQG+vGnA+G
Dm7RzG/GKLRmRbH2BATzAP8PrGVlxNVen1hWfPRv6zrcqA1bNlknT+sCUPhj2KZbWZQNali9IVtv
Xn10s0FS2XWeniFvWjdJ6dVnp1OWHx1QlmFpFo1fP4aphV1umwlSnzxJNrRtOKziJPCgXDCQrNOa
bMDsOkz3stjlnrXJwgI0hIo3juubTw5bukPvAgKQxXocgzVKNepOFu04f2hId10gU3l3MNQ3ddOa
T8XoQ2Bzb7UhMk6kLpDg99VvwLDUbVQVbGlknTyEYVYf4VxBW6avOuVi401VsW+67DNYYKjnrqev
NNWJbvsxMy+G/tISW4A4g13FHhkzKK9zY17l8a1qhOpKJTu0lnXvDV7xWYy6dpAlpBTNi5u9yO6y
JjQ1dc+i9edxoiRXQUU0yrqyuw4iaVN/9uFQvY/B5gK4djl9hvziLCuXzHRE6l+bJ6AQvde7j5Ln
vZfkXDWgcvHR1v1S+nGenOR+9JTnkXPq7/SeXPU8Af7o+f5+c9ssuPMfznMHH/Sj3+/9foxPMBvj
kxl7t206djvkWOLTR7189V5XDiTMepANdP+ozipm+oUs11P3NfEB5uPPcPJSMz/JV/JQlyOaKnrS
YiD2V4OnqeHwU9mww12u+ulV1OND+T7MxwhdrYxrLZq1++bx5UGOxaKgW/zxj//+1/9+Hf7Hf8sv
eTL6efYP2IqXHD2t+s8/LO2PfxTv1fvXP/+wQTe6lms4ulBVSKSmZtH+9fk2zHx6a/+VqU3gRUPh
flUj3bS+DN4AX2HeenWrqmzUBxNc98MIAY3XcrNGXMwdzroVwxQHevHZm5fMwbyMTucFNTSze5fQ
31Us19qZ3nU8YIDXyi7y4KSls8wq8L7lQgl7l4UKJgHJxo9i47qaTPF+SCft2mBqvSI3zG+NWpJx
DSq/2Cqa3y4++skGcm4YaOYhkslFSFDUzHZl5vQnM0uHk3wlfryae6CckrGMA3casDU5ebq2b8I2
vylCoLSeMf5UcjN1bwbuuPn7X950f//lbUNYluG4pnBsXTjOr798aI7g+PzQfq2wcT1Zeppf962a
XONuMb+GvV2T35hryrU54kwGbGNAOmQ+fK+OKhfZwLL2TgrJzVVqqCaCN0N944Z2hYQCdYNnmcBJ
1S6A1fdXuWirr2VStbjPBI8lcP1zSDb8UdUfk7hpHwSkqdsYLLesddomOmkeFENZTDSSKoNQEM+f
zzHhHqz9pK4g77fmI1iLZDnZWXKQrVke/zT+UPw0viLUfd9WEC09DddTz2sQ66i7E9Hnv/+hXfFv
P7SlqVzntuFoUL4M49cfunUyhwWrn70REenRi+H3k7+wn7r8qCZSFhD7UMuTv/FHc58ji1pn2dV7
v6BuYQqjI3oVGFN1JKwDHzbmgkutscU0c67snBk/LF96njG/tPXvvQrTeutK1l2lX7h7NKvEunOa
6blpFmNNPHzCIGajpnq7b1PDuTc97SLbU3Y5RMz1AianZ11XyBsv686Znr06vh+IMd8zB/w2YAL8
4FZ1BUDD5ZCgWzqZw6Wz7eDY9sVJlhAJHC/f67sLPs8o8HVF5i06gfIjMBex8oyPLpzaGNn7qbpi
VKuJ9ckuj0B5BEiHIGEfDreqV96Pg6Zh8NYRS3Ka+bv4yifbXo+tqX5WUf/fARay3ovWGF5ncFjv
hINJUJibKYapnP2fRp1PrwRaCH9/aQj9l0vD5OZTNRyebCGYBOFm/XYPIi86YCJkxhjmVSpwCEj7
QzcF2wLA9B5Sq33bTz16hmOVfu3b+NIlRvX40cNTjGk9tDoiO75XXI06IIhw4L+yxMrzBaEf/ziK
PLgz1RTH77lVFuUBlP7LiDngMTDU4O7j/KxHv3EZa9qL2h/+/uvq85X+MdnPX9dQ58nGctA+s23r
tzsh9fR0bH3L3zUtqwY8GZb92HXBuk009wSXAZ14MpPVfIgnvz7L+g7gW2Ym5DGJw4xXbPjGqxxA
9EL4ugBmB66DhAOLkJ/KH+0yvYiJh/wm//3Lc6uWz7GveTFWoR80vxX/tX3Lr5/Tt/p/57N+9Pr1
nH/d5yl/f9vlFH6t8hoIyO+9fhmXd//+6VbPzfMvhXXWhM14075V4+1b3SbNX8/fuef/tfEfb3KU
+7F4+/OPZ4TPiI/jqht+bf743jQ/r3X4jDzBfzzh53f43jz/Fn/+cY3SXPCP5TMKiWH2/B9OfXuu
mz//UGzzn0iRWEyJlmnrumXy3O/fZJNj/FPommWoqmbweDIEN0U2D/vnH8L6p+k4mkBmVhU6p3FW
DddqbhL/pKsGnUVg1qfxUPvjr5/h+zLk/f/3n5clQtN/vzVdzdCFcG0T/IemCnue1X9amJC4KNMq
qaMd3ijG1hqKB9MZva0adYjm6O1NJOzgxo/6qyzVkq1KnBwHElXcshiCzoD4wpWJtCbmwtYt9EN3
Pc36VuGkZMf/x9iZNDfKdFn4FxHBDLmVkEDIgywP5fKGqJF5TIaEX98P9XV0b3rRi1dhv+VyaYDM
m/ee85xl7XZkue3cMAH4aTff3AnDbtoUr9h6EczmBGfKibmhNTwSNXcsSZr5SiZcE41Y+ifAX921
RJvI1BGiypgb3ksvNnFcnaR+9copKLnHAH8m1t03YdeMpmFCJ8rFFevDdEanlnB07/GyohzGRCrV
r1Foj5lvkMZWuxVzBLeKNmLJwtlYl099GIKEtvz33O+QO44OYtpqJObAbb+tK6tPn3nzxaogu9bE
iakVZkvGZOJxGrfxHfcmlLBuhAjjdyiBdSN7b9IqgBAXEp5ZXxF1Pa3by0oE92X2e7o49C8LnJoG
TY4zplAf0TOL4jBp52U5dS3HScvK0Y9nWCrdDCVTPT+Imu2vXK+Ss0rCm/Whj0NQda51KcQGsIsN
T3PmAeCl/Udb/FPb8s/pEtp3CXpj96TCVmMSnHVZ1GzLHduTOHnm6+KZxzylidHohmQmjS0JuGQh
J/GhX4sXHSjALZ3UZ7LUy7lW1Xxa62IByTq1kQjLJaUrvEjmdEZDbOls3NAn3ZthNp7qidqbPm0W
Cl6C6eIsZ+AGcI1CEr/9OOh0gkZKWenl4jDZQ/GRAH204TTeNH/AvghCIgLKw30Ewbmo7chbXRTR
IuFw1FpvstSS4eTJk/IzTqwmKibPSboLFT2CZcdUYWeO6ozAfTyjlMeduc5nV+jDhWEOaS9FiUm1
BsmJN2GKRtJpD1rnZFdj0f6iCv3ZafoaMd2xXnQtTufEuhhmIx6cSXQXxS89VglgQXiUKWfpCfJF
3lfBbOXaWUsKEY4uLLFiFtbNghl1EDMyv8SqvgZLLx+6/cHbxmtSznmUNVN31cuK654AEiGtGDpj
G3O+3SrPJExbmY8W4uBAVlj/crt4LfPunHNlxeTE+VhX1thnZnfLkaG7ve++KAvBtZE1fLsTn4ea
apSnUZ2EjimQidVy6OxV3QoGjUGteaRNzujXbNK+tDb3gmzTpmBs148Gp0cw85YfvZwg8CLZP9Nl
OhTIu0OToCt2b3c+e7hwja6YDm+LaqarGrKfVjJWl6GHXOWAzGn8AjuFPvhHvwfX6g0DvbP7ko9I
Vzrv5unIKGpjf/krLi/4OEOktB5MoO2P4bhfrF0y5hgyQExKowObP5f+NV/Kb3pmDzfRmq9uWsZ5
YllstTs2NWmv1ZIFUm6MK9y0/axRhXikeh4bVmBCPd1vzpjmrFwGMtxqe0HJtF4I1OXizmnmJEje
6d5mp6xpSYWaEjcEV9gFRZF5h0mf0RevlR8kVcmNZrNMDMhugqVSqN3yvH8srIxeRPNFk6wPWh+E
JM5pqd41UZ0gCU+PrVkwCBoG/yKm4qTp1hhnfr4SQLV9NKrpnol9xGjb6kdJvkSsb+LTF2Mebg1w
ssKpvxtJEoDcTM4ENLTfOVrBr/HO6Cq6x7QGEucKpe5dDpWg8mA1eyTpHno/G1H9G9Ddmt2aiRH/
eSRp4sUu9WezH5tndIIv21ZqwE6xdvqpu+uWk0Pt997PhWqmb51L2hUf6UIYJ8NW/wT4YS6KCwk9
Dk7iMr9QDBNCjULpVA15HuZZRofTxLtYdNpPCHk0KRLzmSn22UY28ejqrjgW1dCe2Ida/CvWS7NO
3/SVld/4o3uZCQDLAZam5/qTFA7Iah9sYKoINsE1aB5T2vhBPttJPEgTX4X3I80T8YEJNXmyByMe
SmvB85os0VRQSS0FOn631szzyjQNo1KBoVtXty3z26/CWexnz9LeV9261oM7vaNRkGZiWwfD8wPT
KOa9zfa3yMV01nQT6JVsswenwWegEZkW1aW9Xnu//KxyePE5Fm0EmQF87/JtWH91GMWmzPTfgdZ8
Qt64dp1XBFvpZnGJ+OxgZpN5JHVzO9W1x067EXZqZnWc4kIpN0IkN735Wl1+ckYejBy+RyzgIKhN
0xXtQT7mkeCKB68phhehXSzb+p22mfiAqODA10lv+a5DYLiSvRZriWN8ze9KL/uwGfivKbRHknGD
WlmIBOnOX21pZlHeN59JhpxoKWsA7WU2Hzkk1SGNsCKckw5SxlBwss7MSG5O+zaBvITuXKvQNVpB
RtMc6Ybnnb3Bozk9O7uQrYNrAbc79Dd3OXmq3i5poy+Bn9mgddcmfVo0YT+WrftlGjpeWpomi9Gq
OC+M25bXOIhs17nbXEPpspzd1ti1qAauBcd0QnbqLjArTQRLb/5FW/ajnkrjYyVkaG7EB6mvdwqj
HyCBsQWvkrToUr6n4LB3s8gkHzb4B13p/8joocWttnx2MtYMSwQucRJHKbry0bSN6382EnQalwyb
wXEtPONk94MeDZI9cZpG+GP1aATl0HeQWmR9ExVd5M38Yfa681IuunEhksp6wMCXn4uenTqze2ge
ssEqOSI4GIysfWtzRlWC+S/Gw8E61O06RJUFX3gwLaRidUr6cbnGekJaF7c7zjGkUdW9SraEbHu0
HKOBwWPoS+NeVmngjbO4Wj18ymUQsXSWIfas5xQi3X0cn5TskFoYeTysbYszYrQOU6tdZ5Vs6ARh
ATiyky9SJLDkkuShTci1yMq6RCYg3Qd49rHb6+Ox6MDOeVX1B14LVYHWIHdfAC9wZXepVPdUn15H
qTlvA9DtanT1IyFq+tkf01BDAP5QF1+VpTcXf1x/DzpzCYT1I55mHOgoTB7VlpPvKQdUk06ZkuGg
t9OBBkES8jnDCE3rL2hh/tnUtyPCaP+IQ4XAxWrX4HRDE2UMrM980tbJT7/7IpUsje0kT9aIynbZ
ChjYvgjm1p+eZ3eieCyWh2TtjShZkh3T7NiB7ff+YZjN7MF12j/TsFPuFBxGaL0Haduk0Cw+9jdN
+7aQtHm1+9fR09rXIvxXRpR668LZvhNdAfO678tgKafmc+6RibC0advNcMpfHlbbi23KANK/R+K5
lQdd2g0hagyAT+J749y1zMbMkdg/HDubwnqLgPpLHPqFfDFoj6hx9K5+VZ17Dj8POu4kG0lMNa9/
UUHRd0hSqGbpxqbg5dZR5IAGiqaGlmt0wZQn66kxsAuPQzHeakothYrtlBbTjZq1hgWkiIvwFCJW
O4XXbEGK07Vspc+RGufKcz+QPMuDVm56VLfOhrcdy5Ga9fFaQlWarRYLWtWm0eqvZDlNeUjcz5un
DXk09noeOsXynFG7wUjcAPpPyXEbuedHnpFrari+YzPxh0+v7/gNQTcX/XOH0MZKlxeBVPpSIqmc
ijbSSzsJgHvqsWOSA0CF3ReuARZlgkw/dIAk3Fnda7v7yGxxYCjQXfy5Zu/stnsJFBdc+frYYs1R
qVK3NkXyiaPqIhXUC02JE6N2Apw0ivCBcdRplqV+Zmb0u9mpHolmgb5t1uqQr6ABstGzn0af4EpX
uVvIqasGmmYxDss07yyxRCA+Y0eR5fytRuh0+VcM8XwPXavwIYzdq8zJxuUUYD5vabcbksWDVy6g
l2ArhDSzXj30KcfcyItzn1UviByKR/48rlzfCNyyrYjcMOsjmvfhBGjfOjQgcukrUpQt3kIiSJaS
gODSQIYeJa5kuH0RW1gfBq2pHvqp6C/zjmn2tLx8IPL+1HAmAoW44u9y+/UkTGFFE+kxB3cuaaAy
hUW26bwO1m6haKGJQmDt6LomJ+DY7XK3xGo8DR6np/0P89nPeFpgDOtuDZtEQ2Xk1PdUaNy7LMeZ
S/Z8C73nuM4QmpH2i/PkNBslRl9RVYqLhlP1OBHEqmsDnMq8biNVc1X2mp3DUjAjb/QfG0F3lN8s
mf3MewpCc2qnr9mkwnI4BxxczLOFrf56fucHUrCnYvX8ZZs6N6TVzQev67hVSjzkDYkMx1QSY7hs
Qx4K4Q+MwUrYwVodV2K+mOmKPliO5lPbGdgisXUlkaWZXAKZSVZ9WnwWpZ+e4P9WbLEsA3x06DE+
CrffnuVmOgFC/uEy4kvdMqxm4BaWyB0MRPSkh4qlad7wS36KgQq4Jc0ppWAMCCoHb7mq7Gor9Vrr
kO/bUffDKrFAXuy2SMWBBQemF9VT/rbJcj2CaWjPDlP9A2MI8OVo/jDFmh1Wv67EhucNaINmNxlC
jO5zWAFJEUVvPCUjcQ6VTJZA7Jflzi5EszzHdVk+diug7Uy4XH4wKvzGyoHort8lre0jM6r2WuxD
QV8CcVv2mSYU+89J+ETbil2rM23yPPvuo2NqTQyuhxsF2ei5cos0tlWJyNruL0bv/Db8YT4hnkuO
LYR4EGuVFim8YOyrtPrXGcxQCo9xP3DnPqGLDL8RaZBbuMzG35b6BeZLVpyydP61OogpoOocyFLw
H0YOn8dM2rw4ZivR5ObiQV+41fJanw4LOvvz0HuAGcpm98rPftBm9e6R96HlD34kZQc2y0AJS+Cv
F4Fpp7Az3McSJ82jZhP5Q14cB188IAYi0+wgnV+5pY6J3rcnc0F1uibjELmhMGQaZiXb/ci6fU7s
/ofrrL/kxjDTygGoKPHYzbSw26YRj32yRxOUaKcAmKCDtRQMauXyGcLCXzvJsXxkEe5I6WkYJj9C
dvji5MoPVHMSbz7mem92Lx2Dv9vQ3pp8CdnFx+eE/Si0aeUEfcf7QtMK/VJgbYQxbLsWbHS5FxEt
o2QfSki+qcLzKrc/PgrLQPUYYjCQHRkn+w+VqRlvbupafCJbFeZEfSK3xhVKFCtY2+FiMQt/rnAK
HWbQqqHrl4FA3H0ZmifVmvaDianpkjcJ6hUPtwYlukS+tG7ytPuC8EjWOYS4Ig81G64TUAWwTU5j
POljd9aECsY6Sz4yQ4YT9gJGZGReGxbVTks0CY39h40w6rzsyidOBGM4iYrUlSrVT36+dcdxpfPq
WibUqn0LZIygP8CSeneHUT10BvvcWgINHm5rPa7Xmln5ViTyDVx0LfESeplwyFUFFjY2/m1U+r2r
tL2f81GiewKk5LuXKU0wlY81i2pmVIEoyv4bqRwd4YZHtktIhYkznVoJAjsfzDnyOGbWTbZctM1/
MTD83Vr/C187B9alvXUGHnKJRrrdaifQ2A4uBtlmw2RfCbbXIkRsy7E2XXUuO5pUnq0JbuP8gpR4
4jj8mJfLZzWib0DQQ8Og+Tli3X21q/wT03d9hc/x9W/HKioQTxIUsGH0Dbwi7X2mEbMZ7vCalawv
1mA9luYGpmca55BFzrywrFCyv1jpWH1kFqJuNIOLJXhtwwpAJa3DOp/N50W3l2NLCmTYcpGP50XP
ejgdMvKFYbxt6Ho5iOgR1v6dIaWezP3VKoZhnJrtHCL+gpUs8/pLDs1BUe+li7FGSwIBEEAd1hwQ
h1FppH/dzVtvVeVGuqXJu6IENNc74cXd9wIIgj+S7NdYJagnVdGbstur0xR/C3vQHx3Mc2g8+4NN
i/dSGETJCPJowlHq2ZNLksHkI1bfFcQFINoe79qiXWS+ETOpgBRhExrPqeo9sIktDHp/em3FwvMf
Suj79RA5poXxMyPKvCiLNrD3NO9qcUy8YmRIpSvEQqFs++eEfa+3L50DEsyQBOYYdDWJI9yeUTkS
/lsklPjSC0jxEY96+9tXY6hUzzBajn6Q6TjgNd4tn/7MkWIPghm7203Wxl3fSmKSJ04zVDbLrf/y
7a09LxaM7YE8ODtJ2gesHM49y/YYWf0bSgrri1EVXtrpmlsOkV1ucnFNL72iio95McuzK+0Ljdwh
tAn4i6CVEdXcAFPRQIcgqdZftIKUlS734FUZ8wXgIN1cCy1PM/Wh2Ij6lk6nTjMJ4fASadZai7w7
+UAz0yf3rWgy77QVZnNs7YbFQm8+ZPmi3BXFnuP+Mq1siWdMRc+23dKNXN5yEJPPaLhSeugPgn3Z
NJYE/bNCUubuCVaCUKrNBUEANL841b6P39Cc6GI1oCnboppiBWsLhy2AWS1FrpJr1NbNtKbnpiS7
p4MQeTBHIq6cjjSZfx2LeQNTXMOiDLW8BfRZreMJHlV97oehPHd5Cy+SWx2SeUATKLuBZr+3Fqdx
ApyfJjXNHyupkBf256fF9n/NTitey8IQr51NhwCOUunbtwXgO7ItGHq0nAsEdO5Fm3RyNPykf80A
rmgUd49LWn6DoC5jlsv8WNNneKE/cmxVi21rU/VFUevR1ocs1q5WhK8n0BgQxARywWGxIGfkIEj8
xQQwiqCgmFzmYGP+zfVICC2Hj975tQf47R0OPwCL9dctwSwYe/vDT6mcMyUunlsS29X1T667UNiC
Cn8pVPvqbqMXUn2pS7XaT5Q6pNHqZRaJLCuAlIOxSiqkYFVr0nHtTfcyazDmp8mInbQd6AUDh08w
8kQaGey+11AfsVcUJrMIMNc/5y53j0unseesxo1RMvQBrfnha/DstzINc7ON2XFWymGWZPK1m3hU
3hpVg3ksK/Yj16WpkHpLWKSE1eu9jGcmxZNuHWRB27is7tpmHSyEdbGxP+i/VU5rsC7XyGRMHI+5
86rTQjmPSfKFFFI72S3L5GS0B4p7ghYGOq4aP6TtSWL+lEVr7euISIjHlLNO/phvnRd7mGJPotDz
J204Sqm1kTP1J3dk+/IkxCGiEM1DXggqf3d6nlKqapUBoijgnRLqd1JWu8QTnt9Y7Vxn3jZ6t0N5
8AaMvVmFgMXRQqu2n8jnhIBfuE9ycstw2foXOzE58FYt4H8MvsANeZ7l7JJpWTqcsasRFI/F+y/a
d29qHwsb5oLq3aCafRVRUrO4wiM/GrnTIgW3suOvkUU7dvfgO6Jrl7BegcT3m4z/PaSU62Xr6ZcV
m/RhQdpxgvU+dyRUOnP5rR2q313b5qxF4GulO8ZNztHRcqq/XjshAk5B89JoJqtgIKQ0GwmFKVfs
OKr/xVyWXZT8Ww02zSC+b8lntqcsEmppR60NhlDzZOztD2kJtAceP1iTpuliXQP5RQuMzK79Evn3
QMuX/FTmLwEIszm2nbYMk2kGlF1AGFImUtcMSlwmhnNqlq8eddCRco8gkHWfS9jtxUYQljb1wqEB
KH5nGHzSTXlv1iE5uDlhbDInhWxyY7qDLWqM3VxR1w+rryzCHo+WImVxV6lzyCIlrVxOYAxh0Tfi
Z9pXv1t7C8fOe9uK6k+ia2ed5E+GNwwy2CVdrpXLqmUyNiCwnlGOfSS6N8dI1sFxzOuXk9Gk7JCw
LnMVSqXdpMLnuXbLYfNNg8ZNrcUrOKNDkioAMSsfRN+869ZmB6A/JWBce4p9dePKZQtsncdpDwx1
7YLMeJlc22XKYFpAaaM/wcWTph+zPZvv6HqNQ1Z6kcMicPFQh57TjrierVvfRWVZ8IZoDmyyHa6w
j/m3nh4MeENPwPbK7347BoVG9eF4Uos7w3nLNGWe8VZZMeSBDxNz3wm7oHZQvgPvEmx0qS2s2VNq
f2LXyjg9xil8p8Aq6XLTsQI41DE+4Szj+kc7E6h26y49GY7C5tkiterp0+cIr5b9YZVkl3PUvP/n
ujTVyApqCRh67ruN4nlYvbcaz+v4AUQFqHGWgPHuf3jCIAZvIHKhadxnvyaPZJvKv0pfA1uQGuZq
Ow1LEA9k7urt/flLORKGVyYjcx3birrGA/3NX85MIoVsyWfsNqO3b8ZgH1uKIi5KQijpIZ6RiQXu
L8oU4VonITGx55r9sFT2nY4j2NSqjzVb/PDN7kvPZ27ehngPCmD3VcnblqovWxgsBV7HAWeZP7Wm
+yZ/+RlZke500pIHXRbpYZ72Q7X5jofuFUtZrC20Zdb53u1Z5KZCSZZxJKIX5E5ToBto3qC4vpfo
aRLNfyegc449ZMcLyb2Rs8fJqqRbogWQR62e0r63Lkw3phhADW8xCWI06SYmQhMV70aHrO8hUdDR
Zsh8dMccVvfDAvrw1BukByEQeyF6zTiaTJLqwDFrEXBgJasFQOKWpvTucOy3eXpHFE43ojGmYy3L
J5sYQJLf5jV/TfdsGSKUibBh20ktAt0ya2Z0vAl9b2nosYe9sVvd+oQU6nexx4w2UZeNgT8MtAy0
hldPbEe3WsSKb3aUDY4IUw5EpIUsEYCs45SRIWvsa0+VskcRmRhPfafoopmIZTXrmBJd72KZiuaF
fbvDNH7iWvtNrqs8mSRDgyw0Fw75tL7oDxw1YB3RJsRj7nqfFMQpcrf+2WfBiKfOJ7VBOUaUDqlO
kKUl4ypZvzOZ4IhREG/qwAUmg10vrsxQ0pNsdVDY9WLHAmjjeVv1hzmxD4p6kh7epIeg4ohpzZIY
Xzh0fg/8oqvUt9oQ89ny149u/2tJKtnwej4dqb1QIUx0mJNnnfXn33b37wGN4RTbexxq4fg3MGlX
ZWa8vqSVh8Hu+phs7tfecVhiE4uCGOlfMO+E83buOauYnAurOW6ZUO/PFpSwgsqFwB+F4zOqBZB6
CUUf/uwnHYQ7mJm4g+zXjVsZuiU3etmuP3yiM9EekvrYDBya9116f+b/vlqqHyAZARhKZUKO1j4Z
YLZHvak/1IvVkGLJG9t1sj+vFL4d5QztWfimZiNDwBbHbqdt196d/QqQ5djfRVvYZw6lW+zoE0MA
g5CWrfYehTLAPRfzN9OrfyBLgi4IrPWoVZS/tWnanJCtn2KvTpyTgKF4tBqGar4tAo3yNC7xscaJ
NzeXYRFH2zQswE3LhwMP6MRyDgQ3KenHi3I4DNDpgV329gn6dwFjkSDsSiRsXYShHzNtFnFlmH97
27nYDn1MtVnhv32bBtZ00eQPS9feSBF+zvYrxbeSa5q6UW/Yd4kOJ/RAgB67EVCQyxqAw2N9niSM
7aQ4K91lONm5oW31HzjFocAUw1MJJdiiIwRdHGSxNdh3awCEWZBVQbGrHvgk4deJBVPk8kxl+8Jp
zQ98ZyCzROAVsPPmr2OwQHBWDoRugxEn7cvnTuqnDo7ZvD4udheN30p9Mi+bXPG/LdAF3RRhnq3/
kUtP9dTm8shKl4T5TDNvSZLXgSMg+Gc5wH2A4JpzZJF+lJhk04iqU/EyqbCqelbBvTFneS0G1be+
AJ7fZNkL60RCW5E2BmSByqez3RmsjEYqL+g8sSuV4ExHz0cy2CJYroFpay5hr1afhBCgqyiFVwQP
YLWPpqadp9rRL5hWz8hCaRfU/ve88suLblDEeHAvGYlch9ynm4DiZsqXZ6CIhKzBeBimH2T3/dT5
iA+uTyaSY0wyQL9hHZa5/2oITtGKY2UBn9Y70kn04mdjIGEB04FawAd8r7DRoRgxyL3nZA04D/Xs
fG/JOObEQ6ojXHahz2c7t0imYFoTiJLYsWQlzpjK+UMs9hoZ02+dEBtpmIDsO7QwZIc1wnBuRcGb
N8KyDo3aA0PTF28eA9tIrlNUzokRL86fpE00Jm3pxeEseRxcUnlF+3cgSudToNLsZH0xZVZ+ibAn
lXMPIK2ixW7s82Y5f0RHFFEhSdYhbZLufXLNMTjAAISbNufdxZJGe+IFpGfdpUFmO+WB5jIWA/jo
x5Ekt4O9I10T2/3gIjjaGw2hTHYm5yOEAeSwOPtkPhH4MZYqjczxrs9Id7ShOa5kgcqcaIC960w+
rUXBuo9TfrmCADudbxbA41sOJqcafRbcZKLVqBNoo8HZ57q/CMddmBAZCW/nktJpeh2GIsX6v63k
p9vyaSrmW+rJM+FFgICN37TvnZs/eZj/+sdxM4jBwCtFYCXtuknSdK+qZ4MDtlO7biDTNGSBKiK/
JYuIo/QnNvau0n9j/qY3YakizIVAk6S3XZgQDZfQGGK1okrRi6DaHn240okgutbbgBSAsiDGkUhP
NNxHZaPasmxkY6bdBpBimsDxYemOjjdGpuX9mR9Ri+b0/4Y6gTNvg9xs3YJh+Raok84A7ZwU9pc5
vFmeNVymBY0CoC6ATd4/e6wygWW72ERocrVgMeBbviCu8M9eWQ0MlJEw1H5U2hrbUXmi+cgJytkg
RraKY/zE0HFcF+aNUOcxiV4VrHkIuDB48rDw8EC6evvpKQg97iQOrIJePzMgySGhloxx6VmwaGh7
AqMs659iGYil2p8YBAUS6Nb1wWwSO8olYXl5Zv726Qf3+lXDz3hKs/Kt6nrjurZobHu4V95cggTQ
KJLZ5hCqBsjByD4EsVcUwxQ0aX/nlMcmrRNs2JHdZdgkzebTeiFfCjK3JHVEW6BmkGqGHeSlplEQ
YMD76Q1gFcYBunkyBV0HTvMZBgeoa4uxEX3HYyWmiz4AiwQFCWUPE9OqlwhiG4FSxjwXycL0kIiq
yrbkWZW8d3g579oAJSHj6gDEFzMYrcBHdiGsPiNEvn5xlN4d0VlicPTw3qfS+MXo1zq6nWcFsqhp
xJjqRrplHag7J5whdvLtiMYkP9v+9tXnZEm3ST/S9FKfbvuYwqphfmP/rMjFCvwFdNeUc5/XgMER
/xCkARYC2jdI08KAWD7UJ/8f3sZX9wFwCpWeQoa0/5bF1e1z33a02lA5jW3l0Qq6FBYMMLdubhDD
Rcz8xg3sZP3b6pmKrMZ9tHx86BwhJIUjzCwzY+Mtie0z0+y5XMiUS0Y7mpDn1dX8QIwTFGp7Jv2A
q7WDKxXoWsugmbkFEEb2Xxop5AmBJtfS74P50ozN9r7TU7mi7IXSejFN45wXkF6lx17k1IRbrt6i
HxQh1OjGrICZuDrVm3mYG/ezwe1xhP6B0EW9pnXB4R4kN2hXElP0er8apMcUvoIalqC0W8btpOvF
2+Qa38C/nTEg0l9BJuobbcY9h6NSbmckGhzTuT4QkVnyxcpgEjOmelwQHhKD5hKZhoXKd5NvmWiT
YBq9c5Gq/OraQ1zWThbtXXzgJAhjph2sS/2/kXW7GUyMcA61rA8EcaPLuvVd9Zx4Sp4Ng8vGt4cE
cV+vnfs6j+thyZ6Gbv1ePKnJ/mVV3K5r17x3RK8c9Fl85bYwz5nASp5VKzI48k9YNq/VxtGimUfu
CdRgMzjQHNC/VZy6/joyis9N9mXBKIx6Pv9IHLeg8DDTY5XS59SdMV6IqDh7ihqatS9jFLxX6L0+
zURbuu++540Xfa/cvb26/vfwn289Dk7uaruBk3dtrK19SZOjOiw1tlfSFWgs/HuAwvffX/1//19N
F+MwcvDccLEHmU/jNmnxacwF0EVdcc5c3ck4+4P/CjX5WLbJitpoDBNsjXFRjEv876vsf7769+3/
9f/+/cj//o3/60dsW3FYIGQ2gDldstL0JiF3Q/acicI/EWmqjjphFsd1TbZAk7Rnso1A4Wx4txf7
dzqlw3Ne5GRKuUBB4epe4cXTHXH15mwjRz66/JRNlOABVOKBWgkNURf75kxDcGXsOpHDVC1z8cCV
F7LEmme1UpNMIlPPy55fldV2QKSGTpgiyFtJmwPcLHvTlF9T/hym0HRGx3KctohmW/L1ZZRI/u3q
L2umOrY6yxyEW+fk9mPo2GI5mKSzFQQlr4lMg2ahi2QUrJJAqxfOhDTfDSLQzO/w4R0yUINGWV8w
b25rmngkBtGjYoitTctPs3ONa5KPgTEyBHU9+kIrpt8yex5EYdEzJLtwnlEUYVqAy0pF6Sbax1T/
1aWoXxfj+2isf2iuAunRk/e0H12a6mtoybEjoLgsSFNAV7MNJtnnflh2oFiShZP9otrf21o8Uruw
DeryAz00femNpWD1K9zBrJiciMC+eYBOjOleExcya3dURFbAi3pfBjfklA6ZydCHo2nmvyQNCvJ4
cnVWYq4jc/DfGi0jbHRZ1sCY8vHIefnZ2urv/rS8KgItD+THUfHAYkbTY9NsSdOrn01WmG8b/lar
d+J58h0CGv23SjMmal5OdKpWOIdKDwSPWv2zGjBrT5MW94Jks2RyFwbDv3uAQ4zb+YWttACREH53
WV9SOrC9Nw7XFoses2rCAyAIECNh5kFel+QHtmSvZKp+2dbpFdSbZLxuYvWbPXLwDOXFRCO3Bx/k
wklCObkUjFvKnHbqIqqwZBXk2dFLr+s1FIPOgiLMi5+J6roKiAhlvUT2fsYjmYfInBnqeQra/SRI
fiaIsDavtrd946AI0UZA3BFLFnUAAruOGK5NGdG/128Mz5aLg1pX+hPTcjqZq8vJu/4GWujmKOtW
LOjesg87QQXk652OLIHGMk3p+1RQ75i0n/79IuE8WAS40aih5Zy5sNbpGczZ4EboNtZDtdGLFZ6R
oubzk3jUzLBWYon6DM8i0Ymh5egrQyuTqXp7LUlmsaqnoiHSov4v5s5rOXIk27K/Mj+ANmh3vIbW
DIokk/kCSwmt4Q7x9bPA6rGpyrpdbfM2ZmUoBhlMRiAAF+fsvbbi72pq+rBII+GvDS88CfCrFBZh
Hk5UCrsMcmSo39uYvaAryKeRAxFaNcu3PAMXllylZ731MEzXThB+7WrrQmTSvs/F+1zmn8dWo2kc
qwO89ncnjMm2sFL1TJD5ypzhqqu4YFdDywxaNJLnvKFUFH62GmXuhLPkjyfTe1aTLVxn1KN0amTb
MA35YM3YfIa69tMsBIlDWfqkEDKsTJCrxHjvh8xNnkpw6hD681chRXA1ctbrbB+22OnJ/PRkSsZD
ejAN7GpG5cbXtPeD41gm5j4oqLoM7qUaA+OgkpaOYxssbHMPjXf8YCmL7cxX386zSzl/LdEXTY14
GinlRHQca0Qdu26KH4Gx6M0gqorKFLoFSeeBvmO6oaH2InPqHKQgiXW3dB3If/qW4j5AzUXUqSWJ
irSXy6/3KNUHHac9KuduTXsZfF/N+j6jumWyIl2HrDP2Ydnd4sinb1Wnb2ldY+gdUqK9lkr+LEig
Y96OZkY/cu5wzhJ9EaEDhok7UArf5phX1jNwELY0XsTwzywb6+Edtsx4ctQ4/HEI6pmKv03doE5I
mrO03lt0IqSDKChvjmU+w03tbZM2AlRWyzv2S0Pj46BqBCqeCWVBy/B1zEZ/he+AABcvUVtHjz8K
EzQnuV6vEVD1M0umKltmkKzfuHb0UhYsFHFODCtNwfrkK5Oy03KYK02JsKezqLqkPFl28jrXPBda
KrOab6uzjSd+LtofJHeXFFf5HRQAbKyWMc0nzQdmdb8eEvfVbcdVwqVxCBqHnqdurxJ903td08Gr
EZqV4fjWLh3sShIGaw7ZD+RS4IJlbT7oDvW7UC7FwMR4Ra9YzGFyR2Tcr0fDJTtNwL4YYEcza470
AUwijmpJRDLluPg8G78m6vXsJFzynxL/IehpaZfgs37Kekv2nqeJcRhgJdjO50HRKDZNxFjeIJOH
zG0u1M/zPYqMknWZuha8epih1VMovG9j5zxHbjy/G1V1DsQw/iyc5BrcB2+O39uCnvZsELuJHAB1
sky7DV27VzueYDiQBadTKvgTloE5poka2LiNbRW8O4PX/pi6NxFX67w071Hv+uyWBm/jls6vUCBG
TUHJEZgu022obfaGJYItBy/KxoqjmJp3+DObXXTUcCfiCRlgRNDddRJIRFtrDp7FIgEHDi+/WMOx
r7t7b3pPfpOojddG2bGTcof1+hM1KhpX+eIWKOYdyrivXnp3xyR+KVvAKD7R0QlNfe4MRjbRpF9t
KBZnL0RNCchZ7Vhl10cvQlSSVdVzhUYOahV4QdkBnfCbpwHZqBs4+rvsAZtL+r0vdVyfUla2hDQ8
LW7ZS2jN22aySkDbFrzaGGHX1NQRDhgLUxSfox+L+hhJarD29DNwcgDW6f6DSmI38VG2SL7ZvPu7
ZOBEBcrxHpS0QGiHudq7KCye8Xyxz8XT9NOLDqSr1IeZFe5GRLM6R7GHY0ZZ99ZDqj22tBWF719s
Ve2namiuIHLnu/JVvM9sgvxGym1X6ZuPsCts5MtdeY2ajO5qSjFVAxxkTFfWe2fPyS7JbHESS5vi
41CwJzxlb0Pc19cyS+tr0UKokzXV1T8eUsjfd707rR3WKpM7D3fZx5/jCY9XIenwqNp+SmVIvGyg
0VM1CZlQRrPYRAiaJoViHRqeYLwbsy3Y+3YNOLg/9qLDdDtnl8hbznlN5cbNLPfSZMYnT9nBljpA
ue3jX5bwlylyeqUdpNmjkrKlXdTSHu1gFdJuYslakw0FYT3O51MXeyHBSdHOyYdTEk/ZXT4PfoaE
yCtL6IsKgUQwwn0srW03IMfEvMGS2HapJdWYZioG44NBVNJWhmQI/snn+D+QDDzzN3MrhkEPP6ON
bRB+v2v/5uVVcZgndZ+kB9/uMPHMnX2FjwExtw8eOV07RW3qlLlO2a+o22x9d+qYxen8zyWmFJZS
iNnzKclRtKSvupMscIvcPiVZYhyQrxTFWvpFthpq599WKCeP7XXVinwT1d3BH5P0NLGERzGQ+y99
HnR4P5R1dgglOxPoblJIMMmT69G22MSa5qUzXLugSY+2ch7qkASk/3uQRdkd8ki9RFZDX8tlnaRR
wJkTrGL6a129rU3rSQlSr/75NLre30+jdCz6Xa6QDqfyN4/wEGOImO0+OvSD+AEC3XpXhFWuMycF
qUWOAxUOnXyeP4OMRPMjcrJTrNF5Qu0IOz/Pq6Nyc+eJ/iv0Y3feoVnAwOIW2F8WnzM3LmYcJV7M
iRS2LABYQ0nuPmapv+Hcd9vK97/nVtuB60viRxsbIpKL+EsOM3YP9L54tZKRgOgKXDtDNPGKfhfe
hKWOcpyaM5LQe2/j03O75tjTd2Z91lkkg9I//+fz5PwVnMEeiHPkSJaA4N58LOSLf/VP/tTSIVYj
RhdwUHYIKKXQWz/s9vUAMtxP7YmlpJeuURz1Z20iZY01GE3b3A+OSo6Uh29hGZiXmA6FmPL28GFg
S72+OXiRF2yhw0brH15dRA9y24zz9KkYk9toQn8LM7SMRli8G2mqn43BPaPh+ef3xt/9+0XAmyP9
Q/rIhS13+fmf39yEi7XUM7J3P8+PyEspn+4AIiRf4rrDAhlVDbcSHwTdK3fnNN24qo3E+CZJAw41
/DVaLvXBTb18u2Bkz/RPiU2YlPmJwOphI9qCUjeXFbGcFeIVOrYPkSPyP32VefENakZ/m1RK3Iid
9d+JdMWJNZVvpCm1O2CiS0sCV651m6uu3ESRKd7DujjCT8AWOJqvZp++J4TwfWJ1o5bsXHlwhbKf
coTgK7RICDEBmiJRN96o+vjPWCWyFRGb7rZlz7EQlCyC0Bwk27l/9J2NhS3tbMf3VtozofOWfGbS
OyEtV+uhyeNLTUTIjc0sA0KIlxLcW3jumvINVLv+qWl2hW7/pVLThMYdKajtPfUaHUMmPNJkvN59
rqnl7+tiLE+SDfXGgLqxIdahYpWk/c8LRdmCVvCTofVA9TM8+z7BWz5wnFWvZPSShm5OLKLn37DZ
4bgwigOmy4R5ghpkvGPebneAgYjd23XQvN+xvSEc747cu/h3IRxdbGKVQfozHQ1t/bkUUHUCRApo
sdxTCsLq0DvttPd6pJg6tQXKqt7Z5iwz4rCy3v/5KnT+PhJ5QliecALbNIX1+x1GgyeBWSbzQ0DB
9GAiXXYWJrTQb7m274kgttCNWh+y22yfcwtqQpxk0QEJPTt+OfTbduk5Jqb9rfCo88KSifbCpE9u
wkzXxTSBMsPeYXc4BdSiqgchtxJ9V6yLiRpk18qtUwXU78P4HWEbog2qo2uY31ez55m5HLxDQa/y
v7ztZZ6iawSoZ3H4LwMLagpcb2DBSYYzrd8GFsNrDHLQRXyYBUDnbLIf7CmJ1n5uJDcSzc5FaReH
MipfKhs2nUte5ws7mgdjUGww207dOxePpRY23R8vuhph7i/FSujZM57lWqP+jgpSG4ZFCDmPXy3c
fyvHwAEYpeknbqKaFLmVmbXdzXfik115B8rRGYDZkP60aLxNbpOQ0HjEryVseWln/ZdTwBv+H86B
7wKAxO9B9fF3KhH47RpHcBMftF3rhymP5FW1Dv0y+7Mv+v5xjvz41ETJd+Gi3XCT+m1Iwk0ropFE
bJOCXBHU73n20GvrOYd0fhWF7bwUIiIGkPBWySRy9ppWvwXJe4hM4a4H/a0ZTfNgNxM+N8M1X51U
bFCkcKd1KX4VYil7J0S+Txs7rvLXksbbw5y0b0bUJ+skzNJTZ7QKnuEpJAfjRVER2jTFSNC5qu55
bQ4PLS3kyxhNX6TZaWSmxa6rJ9Thnv/aTan30Nuu+8B4+TlfIF6+Dfxeg554Qj/kXGAN3OxGeWwN
C+whgwFBmXLGHLkQjYe5fuho1Wz6yb5+aEsYs4+kiCMRNEdwcVMzP9We9SRVXZ1V0z45Ti+BU8do
htkM1sGM4hi95J5eK1mkNZ6Tvkz2IH1wU8xyr+bg3JsNrYLBTBjy5KMHgHRv+L25jnuo5YOBIBWb
YlS7KNBFLS+21xmIlpC/jEjLdtQ/fgiosQCaBPnNsinXg8rDe15YD1Qc8n2q83YLFM/cdyUp2Qnb
960J0HYzSoH4zjKyXUL07n1hMyI5Rb6XsC8PZ4rdnkWKyxwP6RlNNzGWBkVzL5bh1mose0+aFkPB
K4sr1n85FT0jxvjcffOsmsrXTDZDNOt3Uzjdfo4RoeCMZO2nMDjWcOmpnrBvaGciS3L7jm7zaiHZ
ehhIXye5EwEpwpxVw7br3uaKtGLhOdtxouCSTFZGa71ECyhQW0yJ+YLPvHrM4zFZDz6/GYc+a/VZ
vqIUWzmCfR8KU/9SqIkGTx0an/55ZLHsvyKnPoYWYQvXt6RruQv266/TemwZFIa0MPZ0U8f1YiJ8
yAVBbyi6bXKv3R+aTfRTWafhZrK6fFsLtzwNsfVFlyKCnkDhzoChe62CYLx3hh0fVcC0BrvyhYQw
UoFAFuy0GKwDwJ23vjTXYz0VEGC97qGfDKR7je5WTpz3tyA01oEnKzZ49zHO4vvS7ntkQYq3wrLF
NilR/YY056Vpp3up4SQVveb3IsopcGxzZiEnu/pk1q21NyiSQEzv6rkFbfOKvM0iqL7SNqdSLSuo
nHGNup/rEdSduNl536wdP+l28UAU4WRh3S6m/q0YbHGH6bR1cJstPr1dEZ8KQ3XfxdQdkwD1rWXc
bfsb5Qt9MCq65VW6m1lEQEcHD2B3w3AAHoL+xCeukwF5O2j+SmT7JDIU4XyAX3rvyxTJDVswWnPT
Ee6Ft/nwwXvi7PiU9fKwng8FFZtVThjOKzbaK0nV0Cncx3JGc8XC2yENK8AO2IvmgH0+xpkQEHqI
DZtgstJ5yEqW5giTLugw1xag6kXmempzlDED1iTY5pG5Q8a+iNoWJQTiavQu3kuK84bKlyw2OkSL
SUDLfIBG2dwS9CAz2IqtG2HGQyWZRsQsBRnCALi6K6sFtWoLvIofV+y/QTp/4cJ8r/4D5gd8D//9
zub5C/LnPxJ8/vKs/8QL+v8S82MtoL5/wPz8HP7Xe9VmfwX8fPzS/wH8WP+igmxLwa0ucHcKpth/
A35E8C9B09f0XWBb/M/mR/8G/Ljev0zLk55p+gLMj7+suf4N+HHNf7kB9N3AckzpBQ7/4P8D4Geh
Fv1llSO9ZX3jAQWBYECQ7G87DNzyDZr6qDpOZpQ/aDPvn0I0Wymy74G61NI2hQwaQDWOwl+ez7pu
zgf5x/XFx/4/Y4asZTP757XW8iow3picJs6F9TuDT3emgbqfBn7JBmBXe+GzDorrrHF7kjdV7Kai
vba+oGlgr/zIMraR1/+axjrexx7jkGu37X/ZV9ri7y/JhcZhC1O42FDlbyemNahu1BJfuT0hNyXf
g6ghNVtEbYgfRZ+a93xUIPs7bEJO9I2SSAVQAGWLJakpecZTWMJbU+WgaF94If8AiCGBORQ5DoJ1
YRrDvnYaskyrHilbTWmpEsgwhu5AKS08GdH436adBSH520n2TDQcFIV9Idkk8fM/bSaRe8CB6dry
aAazeXbEaG0l6b3Uw8O1UwfugVQfqmDZaB+s2t1nhVp1SCeqvr7IsXxJSDd7ICfnLbTNYPunu+bf
48uf8ZcWl/rfXhsXukNIxXKT/L7H6Ls+bcn4Kai6D2SMgEch8fNI3ui0j8yAGPeAcu3kNO9eoPpT
jq52ZQ8NOyZ2Ak6YzQ+F8UAb6L++rr9dmL7FTbhEA8H74YNazumfzllqGmNtd21wcLER9CUBXCba
cs+YWiT15aXHBENPF6qVVaZ7Oxpe62JAc1Q21O3J270WhMn886nyft+XMISYji9tLyCaKrDl8pL/
9JKmjupVFI764KTWgAkjNM4+uhPTlsY1yJP2eUlHs53osRny9KVcMH/eSO6ci3KiaDXN0LAeb6UL
kL0CGrfRY+6S/REdy2o2aRJEK6HD9kpoxszeyiAgNnOxIoJn9LVJ44JcDittr9b4kErPO45G5a3m
2p43EEzo6Y4AFcPpG+s2vSZ/fdx1FdkkncBBU3dHz6ne455VDrV9sl1SVihGB2OzNXbEO0w3JHwI
BX8laYPIKvbhZgoWhyx/RrbWI4F7QUsGY4AdaCgHTeCSfPnn0wt842/3ifAsi+9z35uByVr/rye4
LALJrIoQ0AZf9AcDNAKPUQbBmdT3ll5shHu3kfoOpfU2lu58nrMSCU8Mj0qhxCLyKSN/2YjOgW5/
toWYdlPDCZrUjyGueO9TE5LsDXMjDsX3ukGvkiRTwPm1N56Pe9gXRv0e9pCFYxmsAQV1e5r8AnSh
e8+k/RJMsT7GncCa0HL4+CoLoujU++qOGZpVVYzRvjOs+OHjkMfBzQpldRwqK9zSOTuLrnziY1S3
vB/HQ9d71ot2y+kxDh/GlQDm3hfWHt45Xkl83dkisQhSUjpY3hlbLp4ZCR9bIwgBXl8gxzLJiLSs
Olp7FYpklKXlsSadynXn7Np/UFC8b5Oyy804WtHVzmOS7maVH5ngNqav0h03d7I27TaDuNG5F3+I
NuklswB8+DS2b3QBkyv8ehTJUfRYpG+T0SlUfmwzYgsJ4AdJrFySKabpxt7zLtm/b3SN+fiDojHE
TYuouBKn3BzFysJff2RiZ6dmFhpROO5yS6qJhkfSXVQCZqgHsggyYwSeXpNXppxD1oW0S/UnWVcS
KzafkZ/H7bqJHWsjhq7fOY757sVIMrDILIkDnndJ++roFMYtqvtyK4xcXJhVj0EjkkfYAueiL5xL
DArpMTR08mimtIkRwN+ctmqIu22sZ1WKkJF5cV2M5IPbfnTx6JrfGllOkG+4Wmz4XBAdEP6JVLiU
Y5tH/PDgXpzW3Ku6/wKqo7x0o1VupkB1ayWwFmTeeJoEKBpnYpYnEh0dhnZt/kieXtzl0ME1AmIS
37JZhLvA6uM1K3qGWbRtKSCBE5HsycNoxtEu1S47YEVUb+m3+fGjb1PRir6HPnFZCG6OzaS+jm0z
3VVhjHfdF69Blp1n1TuHeSlbu2ZjoGJ1WW/wyHHNF3QInOQFCjQBvvRxoZ+8fMbnHAgsaBy8qMWn
K/N49fFwDkr5xw8yj/fRayA4H99DcjsgdUWUXdjVfPl4sgPdDFFo6ZIFl8gF6qTXwGaix3Y5QOOT
R24SeMjLw6lhMG2deLy6aFE+vuWSZRURE4lFgJW9Gch4j+gwes4wj+6jzMXobbsGLnoO8ExPSMTm
m7k8I5amOuSyD6GsXWkZ+vePQ29zQid3+v7xqGjlfOPtbUYWjjh/dL3SSZw/fxxGHSL3EeVuifNG
b9CPIbtBtHGip2BKbMJpHpsafhDJyN4Y9M8R/mom2Pli1DT6lBNQuzcJYB664dmp9Maqote6LMSB
8OzpoDycZ5XfgXFWdboCMmfcVJdhDJ8J9sTXUb/LhhQs/8dAS+YT1vZzYZKD5ebeq+V1Af2nQhyJ
OkxWqnHJubXH73mlAqq1Kxh1XyQt3jv1slBNr4qQD8qBexHHqFQpbpdlpGH9EbUUBt4mxUZ/zsP0
OHJfbI3ORQk55EcvJ0aCvhb1lsK7qBZpIZjldk8iKFoWMYNXQl24Cgg1AKqUzbtoQEWtU6J9zTr5
ZTO07QIEEoxcYATzgXGitaW/tvZzRTssdkrCMcfwMc6LLzRa453L4HsoKH+XrZI3WFQxhX+yok1d
7M0aqSWB75/QX6DOnrrmTmOXQOLhhQgFfztEgVxT3wmxMmPGBRWBDUlG1zxO1B9nk/APg9w7AhUx
bINRouOepG8eTKi72fublH7sH+PTnEvnZeJabrvP0kQ3ykx1K8jhPAdJgPFOjs9isb8q70ypxtvD
WUAIHrj+tnXG+jQMlOg6WkFugngbWgSYJQYJX9JHwLuz7hCGrt10PlCfbw4WXkrNP/Ae5TPAvMi9
fJSVShgz+4z6gzkO0FmCBDlUgyiGDPUgtoozn99dRslw7iNYffUMSsEMBT1mMHEyxnmXVy0CJ4lk
DhtMGRJt58rQZ6HhTLsZdNxmTEDKGDFmGlyz30yjbFmvqm2NZnc9lAoIiEaEMiZ9fBkd69zHkgzn
aOtYJfkRSp/LKjXe5vkwkW+xGVADHDAgZQcnqW+zkuWODVm+F02J4teIKaNNJILqN3xsLFfG8MV0
gH9kpvecRTjkFHHkXI7GK8pBrO5jtQ+o6G6o58532TwufetT2CXRTtRjzZ+nH2H2kolVz2c5ttkR
etQyEVj5g1lI/xSgXE/SdA0AYThmTeGdalmwAo+YWae6Ci7xsg4ojN3Ye+2JMEbvNHeQMkygqNV3
SiiLdqNOD46qr5TBqpsZ/IwXfEoYOp9Z1HjHzGt/IuA11o0J8tPoA/Q+jjh5EwSf0i88GOHpgGIY
xofvzta5xD91tWXfoIzOxN6E7H5vFYpP9L3u16qT9Xsi4ledDQjlKMWvMbQkG0Wg2doHCXEEQ9Ke
FDw9HyK87AB3ykTjDmnw2yDOx8e2KrsKZX5HsTzz71ZaAA4NkITX1RFHDtxWUcGPSYEASQHI4+PF
Y4DvHmsVXCssBOAQKRbirDPXvUrMawBCbI6ICabcRZeHEmWhk6PTj8z+kg6tl6TvDRkf1x5tu8s7
m4y2f3DTGDmYmxTnMQZYE6QKChdr1EZp5xA4zUPealCS3Q4DdH2sNJUlPf5svbIiOEQOBH+3v+pZ
Yl2JmMBRpuMGREmZoheWS18krxznxKSGsYcPbw2BBadHVDaLgpACNs2AjUKEY+uabPWJt5AlEDUz
AgePdsrVtPwb2LjhnYA3Q5oESBY5xSqYccugIuq3TlhCVsggy0c9c08UBLshp0pJbmsY1sYF5Hm+
mVsv26C63nKZ2Ju+Xyep/5My9nyP+62NQuhIG54Y5tRFWD9JdA0KszqcNJAqPvomcpO6QOcvatjg
qaWAX7fNeaBTWMXOS4t3QUbwN0ZVvYXzUO/6JHixFXGvmIM3amgqoAa4Vhk3aAz6BOioyfzVehFs
q0mkT60qeHGT81VrY4ZpVtQ7y+jpFxl6wJKk6zM5eM5L7nHrEtDE1NSnN78TrE2dIj0Y8UjW1vJQ
KT2SLskn7mt5hllt3DThjM+qKI6ZEWx1M/hXQsEHNNOeRk7gh1eWqfZG2Fnx2YrDuzGk+qcjuiO1
hytirnFtuxQW26L0zzZZAeegU2pravs0so37+E4yDP5Z2jl4qNkBV4XMoeWK47n1x2+BZm114K7c
QsRIi5Lh0ipwPcrM6jVGsuHsC4gHScw2yW1tHhrhj8DCaTkM+F0Tr/jSsiE76yiJLh9ffRxErOPN
YCI5Rd1k4GU1XeMcpFg9bO2ePp6C3P40Nr0BZTH4JXo0psSm3gwvdU6+4dt/HEq0MYB9mxD+JSJT
VFcA78sVJiKzyvFqJu9mk047w7xZbOke3eY+5r5/Nzxmnyqsn9CneoeGCs7K0FONuojvKW8kGb7V
9IDxb7GUNqztPMXtUwWfVfZ9c/94FFq2dQJ8lq4+HkYHr4z6HZcxfWu/SJb4mnrLJeM8Zr7tPKIP
AbwOEHQdo47FpNOnR1Jw8BX41ngzh/5CnbR5jvgbTBtPwpLRqZqaAiUSL6dFPHUhqPaTFQ7iYvXy
KF3S7V2zxmYVxdZTn1nmE+qKtdvxAsM+cHcVzY4ksfFeW0ilbLXcPlC+7AV4ZUfVBXlKiczTg1Br
GA9WhxF3mjHiDjN8HMx/PMYkQgylW+MSqUBEsEE6G5OUa7vIJ8rVdKtcI3pylCSgwRklfk2EiZqF
nRrG+fRxqHKpij89jvHyc7+NhIBznpkyJ/8nqqdp61sHXzQQKBvvMa8VdmZuojPrco0yhCJ0gbWe
30jPIo4wJHWgslG17OzE+wx4lNsBCSkYJux1JfaDMpF0q6MC3VX+ua38byD4o7OBGMIMcB8VRXLR
lQn+dooezYGotDm5tVjM/N5+YYV3SC11GxNe6mThOKWNxBCJUKxnFpAe7JV0Gr/Qlc/WjZ2+Gaa7
smYTW0aavPioNVatc3RYo+nQd9cdySHcgsF3b3a/ilkcBqk/gZJSaz2/wyWbN36ZFOvoha5MQk8u
rfblaLADlDRuhg5YSTccUrd/ZHHyFi8zTO4OaMl2nQk9rW4OtpUeo/xot/E9K/1w34escO0uWlll
BIloqErGiogS/3RcXF9dA023M79W6ol1frgNIYCu5pFVjdUKVG5OiLNFjwftutk+1wapkD73VGMl
58Ss2rUp1U/XADPge9nXkZRLtJTyza7QhpUoH0JW6DJC00CpDURdvkmpKeHuZrj8OIBe8tvYP5D0
8bObeZ+p6vbQGY8WQRpb1/Ue/WREaNpma7uyoMqWNYIr19wNGi1cBlCSxFv7kPrGE3jiblc1mpTW
Kv+GH5pF/FLeKSSBwZLEkcBA3SmTFRIS2KVoR1eIFetVBedtxdS5TjTboaqwfoWLIXzAUzcbzNuG
xUIA08zX7N0B5HmvSVhYR82SGU4Fuazn/gcDxwPDEC1vx4bwakTeimDx5uAU1a/BG911mHr2zgKw
9wrf6xY03oIhCKiA+tYJxydK4SB2iOOqP7eYr05JzRbYDXDfQwNKL3bTIe6oCTIWy+qrbL8kZVW/
8ZGgmQ5f20bjx2vhnxGfQienmfdoPZO1r/MQf1xmkmrtPLFpz9DEW+NK5g4FM+IJbyQCbvrEbm89
rJZd1xuvSEduZcKuPZ203NY105cMcZRieW7XYRvGhx6Q7H42n4L5poDw7DvYf49JQsUQfS5gWX/l
+kKwKfftvV5s/lUIrj2vCXZTn0yrN8HFOZCj3b5jL9RwEhc8SoORoG5d2NJ5S44ayWK4M/svJYWj
FXHYp8peQiFba2FHmA9Obol7TIG6NPy7TI/ancyvtL2ht0TCPWNWmw4pbOCGtdQ+0/LRnP3rjDNh
nXkWEWYWYSxECnq7bCCZO38ZKCofjCTVG6rUzUPVJM8CuLgxh/LCp6bXYJGqM4GpYiszSsppVaCT
mf2zm3H3H8WYNTtLi37zMW9Ehv0pmDznyELhUmXRsMk6Xn3upo/SH8JPVQoHrJ5eRQCJuYzoLJsT
MBoZt9V6xqu/sYbsESQR4xb+PQIXaTpDuqEFndMwpoequKbBwjUP4H1umUH2QJzy82yhZyZmGLIt
ag5D19hrAIASB8BxIHx1ZVSwVqJ6dOCAVsybhah2oZg/EcFQnzxK1/P648vOShCwd6GzSvr6i6Rz
vhrNl6oMdgZZfQWjEILFehEsxjV7Sjq3GI6/waz7Bk5BnmbWgOVK2548fTwubb0a4yQ++otrq15s
oO1y+Hj4cXCtGZ//f/xxWPt/fvYggm43DfGzJMzaqod1o/13kTVq3bm57W99w90VU5kdNEyMQ7s8
gcoUSnSwv42HljZo8UQvwvuPg04nazf9IJrq6NBEZrEGMQnhHCm4LL0eVE23RiX6EQb6hZ65JAQC
e3teF1+nYoQr4mCyLRbPzGw/dAXMPPa6covlmowyPx6gQqXzU9jgyxTommF+RI/4ITriGxKhPyHp
dfZ6kcabnlecxigAndfa58lCj72vg0E8K2TgEPOJCR2L6iUIp+plFjUgBOTwGrd65WenASrELZ6S
ZuMJA0sxHswoyJGU6fwUYsQ4RL1R88EpKhlTeZwRbFHR7gt7ZYy0a1FnEm0Yuc8QfkocMqegmn/w
YQuGbANQwVDKlbRTcpjq6TOi+eA2xHAL8sCv2Siu02RmNm67ih3g5C6gYMq6OZUVtQTFe2l3lVVV
nhtVQm2sMa2ZOGB1lVAgGmNrbQKkkHP22S+K9hwuvs4wQWTX0S+7EFl9c6zKeK2RWeEZBBCf95GG
5h0gTvXm/vuYxXvCA/Z6RtVG8FCF4iAsD2Ecl69VueQBp8ZXFVK9Q1Knb7BP8xtTNBulQG9rFuNf
o5oajwIUKUb3XUfxox8m4icouo1G5mwzxjwsmNBFF96sWnM6NG7nfysg57P1glMiTArpuYqfgpGG
jlYUedlQi00VddnRNgZnIwoXM1wYzJD3GDomBynrbPQdpbkZu+mQ7s1m3FPi6E5At/AXxcoH00KY
J8UEa2P4yriI1og20LndDZv9X+ggD2wo0Qo2xEVHsNoyS1svFNtOEQUF1ijBdPbYwX0EALXEJW6X
R6KhHado5t962wHKWMzGoXVVv3Wn8iVmj4CXlF1w1BbJGlRchUq+X/vhlG4UK/PHMboiHhLXtK2Y
hwz/e4v/7+h9KUdY2aQ+WOO46B5M+4xymRODsPU4kGa/a2tNJmxbXAlMTy5WjksN2CNMCihOjJlX
jeXo0S78r7iC1rGbF5vqI5HB7Iy1HTNJWSiLGl89qY7JuItMiVRn/tE1hT6Ae06hzTcIyVSMhcSk
gdviuk5b6KECEzwOY4Bs6YAvxYCzOGQQw5Wa3uO4Z4k+tCRWLmWpwHP2tI38J8v82uCt38EcZArr
5We/JuogrmPnlCfz/2bvPJbkVrIt+0UoAxx62KFlZpKpSE5gTAporfH1vdyT9waLVa/K2nr6JkgA
ITMCAbifs/faNlWMatcLMnuDCdBUGi4v8VwXB0HeIN/WfHQKnzlQOuB4EL21cj30F/jpxD4NdbDh
HGCcIiBkJP56gSh+aEvuH5nNqy/BsQNtpHrW+/OQdRfKnPZlIuaqz+8LZIIfogVsLFKh7qoRlZlb
XNKasQVrM3+e/fHOl0rfEKWvzcd7mmP0XYs3ngfHOScCKxBMy9ew0MqHvg4ubtTzC0RVj8WVlk2K
PtWHurlOBcZHmcm0UNpGgi021kjq+4Lr6Exy3cfFSamk299rc9oWtkB+EmoMthNr3rZmIWfqcL1q
DVbsAOVpNN2949jwcsbumz7C7pKOlk07YDkbDmWDGDIvJ6ji9SCkRdjdagvxwR6euLkxN3pVRVtV
OWjz3NkE0mDshwTquWNxHNKhX8cogQ9zysdhWdYdXAL3c/M8c1K2g+5+FgMwsSF9DCcR3yEoEucU
Br1TW/p2mn1QaVFFrqK2Nnxmkb4QjhR17oB3WaeIgt7Yg+NZWqb/lIqrV872jMJ1lDhY3750y3GO
41NvWvGdo9FrZpAEO10nA+8eZCJDXDpPD1HL6dBsOg1mmsaTihB3D8WAqQHxYAU4Eds+3RlMQrYh
XYm1s/D5MbB1zhHE9XNf+s/jhFO8Fk2wNprCfHYBFHDi4UEVUTtR0CPOLAlVPIO3/zGYmQMCJyGk
tP8YT17/aZj1T33HFdYtlmIPOhWqS2YZ+wql2THsMRMhqyPKhtYYdjFzX8LdW4+6Ptyh+QW/w8Av
6awLeG336E/li2UkZDy0ol7PBQ6PjDTz9ZxD47XRon3weIpN7MGAhcdPiFKEoC9cD5N7iJn/n1tp
nbL92TmXjBlBJQOaG0S3Z4ZbX20N+xcSrX1B/Pw1jpwXPbf6A+eqF1oVSIuKsoaUIIcWRkPDF6gw
9SVYyBvhQRfx5xELDXb0LVcHsi36MKVwEhj7gUsvGCSxnCorHfZWPF8Mhhv4UVjEgjNyE/bnYGRE
WCEXXPW0pU6xQ7MZydPTmJOAFCRaTBTzmUoqcFezMAgi0X5mAYo8/JDVk2l5w71GkpHtfdbt2X5C
oek8LRT9uzH9HOtDd3UxG5CYE+C0NHSmiElw4hNZqNPFT91c2XdwgOjneV26CSicAcm18nMUQhUr
GsyENfzY86QJJogETSLJx5qlE56X2U4/bUQY/3Cgvez6yLZOjp55R797AThI58AgHthx0zZfOVzY
KbcKVt8Vyzg3twEli5XTcsLgDU6noqUrsPJbYwdMkqKf+07JCSVnlNHTWAfNoerbehMM9rQq0VKs
7JjryyKCUHBFrMa7yPaMXZLRiB+K7lkARj0UY5CQRAu37KrcKCFgJp9Tctq67ylwKg9OnXYyfsHo
UNKDO93TtGSsXndegUSfqEprMtqrjeM4hIKAqCwCZoqoB517eh/JNTfWfqQlk+6iG53DmBn0Rv1h
MzQZ+4ICFd/QXqwkg8bZeuC4JntbLWl2jJKcmUIU0WV1mYH65nPRZFwmyS6DREJsBLHEznXspuQw
5voVKvHJb4Eh+NDOjjVhyQfOe8vWRHJNMTaHT1UuXyOghcyQc/+xN+Jr0TX658Bcik00OsVWX4yH
vmXin+d9hQYFNGpLtsgegiDwPT37MhoQ9dLRhxBuw3fBGfLioyhmvH9ydTN8khG58TjNZ6TaYhMl
br9C5PNtjqwGSHY5brVIEJLsNp8nPdwsDn72hiHpnVGFwdWaUOTVNjI7CiingaGe4ZbGG8CNHYEi
dA8YhBYe1T9wJw29TUFlZz+YAgRk3fpPicxPxxM2Mna9wFa/aEMuTobR1PcEJN9Tot+mqai+wuPB
Fdd/s8uiPAR+Oz/h/jxTWniKKyjd4DJwtEl3kjoyAr3aWww5tuSelxuR58ExQ3695uDmiG/TZ6up
9bVHOQPhrtV8KJiZzpEIVro5d+uaUhl9qC9DRDCGwXVjRTO+Qc1sPNEA1zdZQT9nYO62o7LFtI92
57qP248DmQDHuqRSkUwyH6kpp5fCt39o7cKuLNP3jDPFMzhaf4P+f9mrk7BZ0lWKPcZ0uOG+4VmP
cdzhU5qHutzMBZ1NKOravicf77q07kuEgeGp0H3rGpniJa0/OPT/H8m2jZ/8xqBCXcTGPkp8ZAK+
3pyssap0ygKsqm0TWdP7Gj7g5qQ2cWYis4pBOeQ2nEMMaT6wUt9d1qnEEKpFUYyvRpNmmwkJhiVR
gL1b0bnXM/2v1ZS29nGcrxSbwXDIheJrgBL7tab3MVePsqMAzk8+IYoXQAYESD+lXCK9Ee/rRezE
q7AxcWcJLTsGMWjQYjR+LRDtIsZ26jN0Bv3Ymv33tMP6nywzTzDOC+BYSbhUaxgsHM7hzmvi2vBB
Bopmp/fVSa6+80JczkZRSxAYfWUAYBIWu8iF2rwtbDciqVfyKGOJEVRPoJ7w/an+3tcAewPrVx5y
JmCkradZgM9xfFF3S9U+9QTpDVnyxxOmFeIsxIwvNTXSU+mMfBFaApP7fVvuDCNtodbcoJ0ZzHbt
ZZgZW8CkJ3p35Umt3TaDCGhRH3aMlbjHbb/6+P/Yd9u83c+kzZOubs+chRDu6Q/2DO35AhXm5P2b
U9uaVvFNxG144uDXaVzG1imwGjzTGPXMdWfnCDJ8mLaj51M6fFR30Kw3X7RkwLlT1Z59I//1vO5S
cHTcSCrqFsVUMTAybfWk+3bbpfZ7Erii1lpYEfvZLY+3p1P735+T3A/cnhX6OUCY3YkKXndKJMdW
ramFugEqgAYAobfWcfXo0/zEpxxRwR0cgt80flZZnbcnxkUrEZrZUX3NkTrcbl9rhsRc/qjUL2mS
iFK1GOSa5QBYr5dYBrSP06muiukkKM9T1GPztlD78mhhZqhRNU+7gLCJLC+36h8JJT9XLWa3IUwm
bSbkIl7x7CdEOEm9QIbhFSAW6k+pa4omWMkSY1VVgFMp9/n6vPUgLBCViWLLewLk2qxoN+8hQeHg
G5xdXtdkgEbPwDA/mikl2HHazrTyV5TOtdUSGsgOZgyPrjh7NlN8cC2EN6EuoHX4nMXiPhcJ2UFz
+t3zme/QCH92Sl4QjTydRX7TWlG+erN5HIoWKCxczn1rmgBfqIKiArumIRQ/qqAvopa+kyS8hFYI
KVQWm+PgEqROdHJ5g6txhfb9jVocvXIao/gYj2kV8M3whGgyJLR13uKQApVQQyqjchdlWY6oJUW+
75jXwLKaFRFqk+wN93iCocrf665/xn5LWI5zHrqaHmk/b+y2f7Wy5oGK2b4Png2dRM9o9r5V9mvn
5M667PxjG6bfOFtvaALy/4SAyzQPvVY9f1uI8dPgxp8EjVlM594KmNOzGN2vmr7X2zxZT273bkmf
fRfqqUG/gAzlBbMXHZxIMFngMh4DVYxsIOlxD61QC/RtTw3oGgYxkC4AflhWjJUhpmOJ2CKhc4OP
DJp5QGgZ/cRwZihfwFx2ccCs/Y2ZWTKbBEcVLRlBFsBwtDptknqUhakbPJ4h8x6B+K8Mk0+uZSZ2
CsRw1MIeZgQwjF0VYYqBGvi5dPbCZ5pl5gzxqybYtUPwIe7uCtjm2zJPsdxD0vMY12w6cz0wp81a
L4FJG9IIdGgOmpDKENuspposSQt2ykoIoAaN+Th3wMfxjffkSaSk2GRX/vcW0muMohjqwg4kFxHU
vgGIHgBX5RQv/Dp/AtrrFuqkSUuDmwH+EbqNvTIMcQgWix4G6YLLEMPz7vU3JhAtP1lhwMMKiXFm
fFhuqMuvpl3QVa9zZ0KWLeO3uIINhCZ6g0Iy2C62C9wqNz7Orv09IDTVHol2I5qz6fiM+0YXW5lo
TBMlD/bNZB1wf8BhQrkDHrlOd13UTc8i66Eladq8ZZQs9uSp6YDBy+EAvAtsaNRZTxN20HzUi/Pi
w2f38tx+Wgqj/UBXfbfIaYPaRe7BqulH0gWKWeMqhE23rZfPIhD2NV869+gmKYgQi3LBEgr3GNqT
+0Q4ck0HneAU+oqEutvB04S6mAhQAh1KvBpHclHIt3JsA7mPRXQq/0FrVcUHi5CSR3wrgAThXkAy
YMSjc9j4aPzQtaBXMmmjUZloh6dpmpO7oUqeuVAMT2rRTadpavXHpLzEAc+U1Ob32jN95ljB+ORa
DdV+idRPlh9YooipisdYpnN64Ip2JoACzlWZfwAjIH8mWvwxjFySz81LSWPWG+zhXC82PYKu11a5
+9HsTFAuRrybs2V4gDr6WBfNt0jPfW6aqVXPZnHvWB08Ot0Yj56Rmpw1GsQ2pTFtjLypIJs2+9Jq
zTuDmd1AdsYZ4fdXxjvpLqGMSN1vihkuWuPFTV7yKvEY/Y8N7J+Jo2B8QujRrcRAyBR5LwydKoaF
mX6tHc8imWe2roVArjiha9gRLwA/v0/sNVXsjLK/S8JsZFwsw/pQD/gjNSectpSr2lWpvZrTAA9P
uuXQXR0WmHUb0OXTBqdEtWniTqrVcxhHffdjzsQjyorosaM8HwVd/uwQZLO0/qMdkZRup9CCZ2La
fDxUiWZ8VKqbuqEqGZdAuhd84A4v/5+VxcafZm7PQ3XlmjZuDsyU4k+rxTKIxI9dszqkhpcexoGm
dwcieIVm8NlDtAiqqm2kEW5nS3HH5BBj+p/fgvgXtwfvgROqbtiGTiPQ/EPO7gdRR8pZVx1yDbmT
DGByQ84A2hjFGy5knzPB+BxBQLXzyyG6s/wQcEpurLWqJEamht+YUzg8S7GpPhj5/YDbuaO5fGS6
qt9JFaiqRv2Xdy0F1/9kXJCfnK7jnkCHb6F6/2dBNm6GzExKHJz445xtZhvekZTdOwPEFzDmzNrb
g1dupsE4DlDG9kyb0s+LeTCs9C0e50vQghyftpXhRW+O0F9KijkUf+wfCFRsi/MXQ2CqMQ9tacer
PI6X0395//9ibuD94522HM8Hz/0vLtq5TfDMGE7Jqa5g6G5hJI+7ln8C0l+KoPqIKgOKdNgOO2J8
Pw1OzOnBgujkd+BDS2uLtv8yem92mjQHYPGffFkBqZMKRtX4kExVtZ+qcly3eWTvu8S6s7qsf/cC
/68F7Ok/J70bum7+9nX/S9D7/8m+vn3Nv/5uAHt/yC//FynuHhFkuuNLIorBGeBv/5fn/YOWMsBZ
LEGOwRKnx18B7/i/dE4WvocD3XFcH3fSXwHv+j+EsEzflz8HnCC+8f/l/+JpcN3wNnRB/pT5p/Mq
MSrBud7SDl3e+TvhTcAy8Bhr8VgeUMwg0SoObR0CTaHEvJoyN14vmBL/y4npX2xo8m3Q0pUOOVP3
xJ/QGDyhzTwsAzFGFe05zt/embbMm9vq332SNmAzk0DSVtqWPFqCw3Qos5FgNvDbV/fwfkr5jzYk
3obP+dG0BNAwjO989b97a/DwJXS+zOCgA4CHQwvHYTY0cdRwSA3ucRzLT6kTPPAD/ZTNTKGisltX
uOFh1xQaI+GBzKEYQd5/eVuW9acnxefC4UsvErYtw3R1eWL/zfQzpa1dGy6AUndADU+aHN0nMizh
pnqX3IVAR97mRJpcpJ2aBcSNi1+HqoawEAlRQQft6JRbqmQOKSLhaZBSU2PKmgtihHSikd+KYjnY
fv4wyrC0+e8FmX/NJrLHlDgBj4jPEXCwol1y+Z1PsTa/0r2tqK2jbyDQHGIuZW7SGfUfqAedk/XB
Dj+CSGRIOyHEcToQIgvxEKFR/PQDD4qDCa2KYMZt29Gzq7NrYACfcWSSy9Ck3VXP2+8DGhcbteGa
f7u46sny6AF13mnztyDs1mablMhlt254CgboYp5LdSydhzOoLYN4e5C+a+Yt5q7W6js3+e6DS7KS
MTpTxKBMV3fLyqwzDCSMXYJwSHZeTwJRS5ilxiiSTtYl48y+MxCM4qI/oGocL6hikmMDQccZiEJI
Zw8gL4OHIIPBiAYo4W2l+c+51vOjVhGRaEb+j05+IbLCO8avuY2vbepQQy4hRmwCCjekGzGraa2T
75nMM4k7HgeQXFAQfhQ5ER2QsRiZ1T9pUzzQEnuoiWNLSM8B6l1/SB4LRAajmxPfMxTNOin9TVP2
3X1K+BDQFfopg49hxwZWaBIs5DbAgnNr32qRtnL6BXmuBT6mEQ+oXA9ukSKI8u1Hw3SY7SCZGvoo
2YdDQxZ8xAQxH5+JaQFUOdekckx0YqupfnMMHcXEg7G4XxDha7g4mVdoUfDqT3G2qYyJ0bMJvGvq
7gBl/wAkba1wvxA3TKzGujUnpB4jWsfC/WxUj7GRw8kt5vg+0d9CKZpNoYZ5dFYj4E85TMq9mY4/
CJla2xREmf/6BnEvzLgTKng716N0TCLDtcdAj0C3Nx9whi+brIk4KhgkULOqiEdwvs2hARsrYQ5I
ZOjPzAFgmhqMlLOeMbjhMNtpe/KpjAzJohmH7iaxKvtaBHQr0hExZU3+X2WI5kCCDLQCk56TQzqN
ZrNA+2UzmZWrumyx3hZ5F9kb9DsowuQNwEbewC6BLJZlG8hr907Y2rtbwYZmg8iwo1DPUQs42c8E
F2a/3UXtT+Xj1ZPcHqv23TbVWmNPC5N2m/4a8gpUKGCwx8l6RZhO/Jbc18uqo1qzxOLSA89eYUbB
i3uvRMZW2Z5vdzRGqjEwuJyNulktwPZEUFtk4ZJDhooXH2mzLjSDUFz5Cu8735fqXjj7YVuNpvX+
oEY+8vZ0i9N7UAnUQ397J7Oug3wmDIDMBOJpaoPQU/nA23vzQs1Lwc7Lt6D2zurNq6d31V61Wqu3
yymkAAgeI9TK0IahvKODyeGlcXhqofFGg9xcCYsfDxZkIvBCsM5R6EEbZADJ3HAc9WA7h4zjp4YE
2olpoNV+z/t7TJHJi+MIWAAOld9i+ODWy4tl9j87lKBVVtKisyl9EJ9I+X3u84O5QM3nd6EjY6E4
Z4Shd5c1zSHQw48Wut6tDQ90NaCrRoi4orN4H6S6f5jr7oMIydociv4LfpOt2wPHddoGeLOfQRMP
icGATHEXFXNwKYovTBWuU0U+TJcQ6cD5G5qHX/3oBpeeotMcyGEFdSuYJMZ2gj9GNx79Qo/3aOTv
tCnARBFlR2uYlyeBOSTQ2m+tO2+X2BLbphjBUhBexem5BpsArgd6zbSpIqtfxZiO4UMk9kZ3Z6QR
c4WGY8nQaBvHgHo9pwPUL20Eq6TEf7dKyYJq4hn9UJwLTr/LPQ60H/Cf7M91f+9EPcNqzVx23ffU
DZ2LEyPAaZwi2Yho6rd9N90v8EHghlrLtvFIZEThvatX5aR3OxQhLoileEYeND3PCI2BHIlmN2ie
RWLJGY2a/eAC4hrFHOC4s+1d3H9vxvyHtSxvg94828QufNQGhI1C8w9+yqUuHOPqvsj0HD0aIHSd
qdfZ+sl4z18FJEKUEiU+ROTx1OnwtZ3Q3rtI7NemG5dbx+E6qtNnirBeGQiMKdxwArDT9dBhkBkW
gytpDl+DvuYKdQD9O5jY2YOno2EVtKvoTUc/yfglJsc4201N6m017uYQ4SJtqCn6FPvC3GAZlElY
pB25/dYdY/PV6fE4xgI3pI1gLqsnABvaIyaSZj9Y+d40YmeFqfhN5PUPcncEqQB1vQVaUqw1P+tQ
7JwNhz6mZy1rVNB3C9JTxEikr9OKBgeNjEZPAkqzHAGiNnetax6NxD7MtkDQRIwzA0/YutQZ3OTe
wb+DapvxpuWE1UGUGCAFWqlh2oZzJLlAqfZQMpo54tVYMFQSWxUuu4QE+rAbvzCbX4Ck0QtBV5LF
kDIMmKe28yFO4U67lX1ZGnrkbvEcQANhNNc8OfZdOXz0gPkQcwmMmgKg1oivzVAdzKjIt1rlAXH3
ok+0DtaOjnpBx6m49at7JnkT30R5NqGX5ZOkudTkfGgiu8RN+KBH5HnYy8fBMT/O+fBpDExv7XrT
hAk42WlD6K6F88DIDwtP2K4XFCAanj88JEQJGFa+c2DL8p2bPyGBcGwhaCjNQaY70rdjBki015ep
pncd+dU3q0i7FSJbYC0AyQhK5iqWxo+jL0LUcgMhv/vCvTpmdT8l2Oq4/NAPJJ7cCCkjTUc9704i
9x48t35oHWKCJo1s0jn9jGT5qlvuS5NyavJzjkP8Xx4qdnxUDzi3+KBBEgVNu7WN4an0QL9WMQre
Jswm6Qb/6AYI7JGf4YEJ++3k2lyEmxlyaykOlTu8JvpgU0OgjSaL+kOEuxP5aIfheFWb8cVx8hNk
/NAZ4kM0zRenQ2WIMOJSSP7hMvTnZvkolkhsPQxuqzCovlQmIX29ZbwkAJsw0plPLt4sCWuJg+iq
69nTjEXGm/Sv87ROteBZixyYes2dlOxGSUkeV44dMZnRHHvfizF/LSu8E3p88M9zj30SqWi0MSnX
3rlZhgmgmKf8LqsJQIsL0rzVLWrf+80GlLd96JCsV1ZPNReZAxS1T+peQPPwgvVTt565/N9pDGL2
Quew6TBo8c8Y2o7SZnFH+wiz72SBWsrnO1HZ205o+ZZgG3j3jpTNLRB34qbi1wi7eePSsYctDTbM
StGrePpP9zCU9XxBJutuo7j42FjBMa9al/qaQItmMNIrceLuXPol6F2xBS9c0uhAT1cDwJTr8h/K
d0I7mrAl9JqcVV0+vkFPiYiiZdksw6bqbZvP6WfYLcU9GZEsMCVAShu+jhHJICL1kTSXc7VJcd6B
0ZpNkK+oq/hbQifoRJcjMhE/BHzytaZNX7QKRQcdbaZIAc7qyTtCXn5o49jZFwWVRbxP+Oz7Oy8H
HqSb1U8NeWLqmtNp6cL7UZgmF72OymY4IDjNsuubjoSah5RHvXSOohz602g3V2s02rtw0j/YmdCP
bt7mF/hJm8iDVWCE0nIuv8Qqz5NdmBGAoIsSOkVr0G2qByKo7OE4Ny70M5KbtMk591btA4mv+jsy
q4s7EAFjEaR3wAAxWs71W1yGJ9MKOnw9I/rSCU1sD8zImjyL3i2d0Tz9GTm8RzqMZjvIphZHVrrY
5d1op1djmOUQ3H6tC877dqsfDOwOZed+9my+layZKuZ+83AnGmpNqX7gujTT4izus9QIjgVjYcKH
imBDUdXm2q9tybKbN3lbQvKco2MBQBhOAAtfjD9QnKMh1jnQneUFMXm+sg/JGDIZ6hi5WC4MYWTW
HWTt+M0PJ0hMgZei0Cw3OW31YyCW7145Pdj+G6HtKjpULQYZIgrLaTbWarXtDWgr6iYzhEvu1szo
6BdXqlUs15LIITf0tq1utqpGAca5PVK3M5HnA5T3V4s/d1Ib3KQmTSuspeNaiZ5VeKhai2Xa5v+4
qe7S/K2Vvj1WPey2+cdTedbMuSoD76+eWT0B529bw6oUyN6rpqNhUGu3xf+4Dw97z6Dx3zyu5sQf
U7XfBBbGk9tTuSJBJ3LbzmWrV22+P9ftpWI6Xb/uaUVnMPooQYhZ0F1I6fIFf7s9tCCQka/I3tTD
W/Hb66nn6/v+S+PNYstQCVRdKV8zrW1O1Go1G6BfhuI5W3RGBUFyH2lFxsDTzF4dO993ZWiQr0E2
dZfO7VowxTsmYduti3RAzOR6wabus26bhjnOh/BDTHzKqlk4qgnHXUVOXm4aq8yvc+/iZunydld7
QXb1qLfviCklAUluwtjNrrEGvEuL7Gk3Soa+0ZoviW5bmLaYSmd2AL8SCHG1cZz+EAPqPlL7NS9u
RsiM3jy6qLgiKzn0SKouSRRnlypqorVucg0zIme9jO0ANVu/T1wfkhpNreZCkCNpsLqI0LYc3G4p
LwRUPjMRXy5DoZEsL9e8RjBIKH2utHLTkAs01qdWSvPbOv51t3AxFgmSpq5skKdQmPu64p0s9uc4
d4prEpfw+WbmBG1KymJlBgSUL8ZWx1DamGg8McWEF5om4cWgdgH81oZ2UhOaOhIsk5FSqYHuKGnK
4/I8o9XMuLDxGfGETOe5vCzldOFsOl3sMH+qhe1yXuYeTaiNl1SjJzSnIUltmUMdyK0IkPQyKgxT
/OKKprounpcxdkNoQWT2N0LvxS7oaW37bX3wIuucL7p91obugLCwOC2Zg8QGJ+Qe5PPXACrrrkvi
Tw3sC9IuS6w0mYfeV66phUml/YJ4Y1mLjOi2xI531H40hLSXYUkF+cHyrshUih2VGTL9pLMTa4Jz
tk3jUJD/DIzP/eYznb+4dtOcMDFuNbml0haYX1CntJyBK9Vf+yLCySDdkLU8foSGwosuuXVRB5Za
8wYCYnE/laveEDMDR6yNYw/qMl9MQLAdSbxJ8rr4lqg24XrCn3Nx5U3qdmeszIvXHRqpSIzwPlGz
JTNLL5ejXTGjnMvurOmIVF2ShxlqecFF6Ll2UWtZ6HlMwOIClX11jfOLS5LpIe5trd6YtlZsiRd8
BX+Kr3vEf1jTDrbTIb2o1AjT7T5DAfXRG+7U3hAe0sbB0LXGE5Zc3L/vqe6uFi6uKad/snw7lQTw
7mQORKNa9E8ZTfO5R4RBYRnlM+zkQa8WkDsx/UCV4dpaMRG0k7OCS6qFFockXv62Svz7LGftBQrV
5UXdgNwzOZcJ4M/f76huUs+mblebro7GwkxNgOnyMbcbbq+q9t02/a42AQQw5L3tu71oZbb5ae5f
zQQ9wqoBiPvbW69ChymA5Us56l/v7/aKt7dXq3eOUrREFgC6UN0ycnD5VoLwWnE2//5Q/nh7f2yq
O//xNm7/KXTTb1lfXxsEN/vQyrD6gBbR7Cp9THv34o0R+ZFNR5xFHhckRrr2wazMT7TetLukEQUe
YMqTjNLxkHmRffWjdId/crkLSv9s6tM3vdEAxKQ+v4aG7KbCziB7ZkJcKD4+hPbiHBjVQ9tf7sPk
Fa7RHseIuQUG9E0wzt1CyAY20THTtUoPWT6/TuIP+1Wlm7qcW0ZfvGIfE6m28pbW247SUouiWd/n
pBM1jjD2Vu99DkhcvjqYXCPmNcieOVJGEwYom4JeHHpGt2U4aONj2mnGQ4jhFV9c8SXXZ+91iL5W
HTqQZjKQ0a4AaQFra3A+DZxnO5T/65nJ03rxBsSdRfo50rgsL+MyXqyaQtLYm996q/2GWMo6ykoH
WkvUVd2UoKIdPreB90DMJumL5EpEaXtOjFfmafY5m7Ptwne55XyOJKhEC6l5Y3muIfegafAfA8QI
0C9nzkS5RwNgQno8E0YkCB0KHWibQcvUybfe7MpHBaqPRwRs6UdRpjYV9Cin7dike18v7U01tvdT
w66ihExtUu8xrBYaM1ntEs78NtbtF6IsEEjMTCwWy9zF1aeFzJXHvE33dECRUzXddSTUe1VaycNQ
E6vnNtO9RrOWZOMEUUqFYu6wTBaBQbG26jun+aDT5WxSAhX6QcM2kgXj2SYBYYzvtc5p94kenEog
JpeJRBPiCZH92miC77ovCYbVy4gZ/anz41NH+RJsA2CDvgjImil6excRloXYtXTurZ7pUplb4EaI
mMN3bX80CIEtGqReQ4l2WRuNa6AH+6TKcbIUyMOyIPLOdTz+IPZ63rMAbDZn8wGJTb+ldgbT3l+W
fZALIrMDwPaDHYLSH4ZyizhxmzIl3uo5FqHE1WBVWMTyUSPTPlRzdNd7Y48VBszB0DtYy/tKHMo5
+WlFXnqP78eHotHLSptJkW/c40nud6RBj7so0+xtn8k8LxtFLiF3qWeLY02UYEq883tb7n+bvv+l
6es6UhnxP2M/1yWYmq/fy9+7vu+P+dX1NXTxD+wFHl1a0zFM4dGv+0X9NHT/HzoyANfki7EBTfFK
f1E/Daif9FR4JNplj3bsrevr/MOHBQGh07VtOsa6///S9eVt/LOkQge0Sb/V911PmDb80T9YkHoe
VXqgLdqZhki+dkM0m2OLLJpW3a+1930VdnEc/NLzOqp1da9/uW0KumXTzASg/3a7fD61qRacuuqT
8EJMn6P/0KE9XYA4ZR8irMG7QqYSpgxm01XbtpSMQ4LB1c5YtiHUAugZN7/fqSkSFINqt7pXJh9/
u+tvT3e7z+1mtYa1kwtzT04UzS2Kz3+9zB+vOlqEdv128797vvd31mouMe80uza3+6Bee9WTAXhV
1h1ppQ6INQtGjsvYnOgqpvp6TAPZvZJ71cJ12n/aTktAQOqWBRaRAY7jqB6tdmVocE4YG+Wjb3dU
m2pxu+f73eXL/vYC/+7mP/aFRent2tS5RjRXeof5++2Z1Bp99Kur184ukiLtiWIbzhu5qhY0uH6t
qU0BPoyqMHbJ95t7Eznr4lMbVx/Z7Vv840tVm4X6/r1QghQdPL6dUxHq21j4s2d5qCUWldlycuNt
EoUcteogLXNCHRsDt4C6o9qn1t4fpw5pYWvmzuiMO3Wczmqfujk3jHNtRulebWWjA4MjlkYR9Zq3
+4nRenB6d9ypG95/HPIdqc33J5Wb1MFxUN+p7HlGJ5To1KpaxMRLH/vsaxGTSU/7iGZfLnXbqVwU
qqkn1yzXoziomeU6Nsz25JbwB0lCYrWbobbhij0aERkvWIIgb0khu1r07dQTWDc2G0JQ4wOmSy4b
3Bj/fQ89DbjENfpeuc+VqTzxZdzIbRskIRkTTvFZUMM/qYUjzfFqjXxUbAZyoTazZX5d5oqAIXkP
6rnryi+sw2TLHxNVApZeHA1kF7oH5e1WLu+QAj5SBdkbfF814w+TPfPzmBnWpPBRUM1LTXiuVj0p
qB/raTja+YMT4k+rbcxH8n8qFp+XUKse6bkIxXM4faUfJOtC4JW619xwLS3C0EIkC//29l2DuAGB
Z+k3y30nLQa44X4tiDn4tZbm9dVrI2/3jvpX3hGxWCnlYfkZ5cxpdsvcflCfQiJtJ2pNvZrea4wl
LHedSF/ZLMPqEmxUWF3mejuN9LhWDFrGUxjXrNo2xrcqLWxU+4BAvaUmcieutNWcQPZbqzf3TgqI
pHqdSAq4rdLQor4Ti74rOVIChQe71Dd0+66C3VLhLsiChZM8mOKXCu7/7n0zk+95lpLxJiitFRgV
BHJBiH6DQ46Ithd/qsPdaAHEQsq7X2C0n9Rtas0yxFZYWXZQdaFbXcmfKoaIWo1pp460Fmdo/93r
RjK8VanMTDUi/26FtWJJHlFMVjsbgeFJG0x8Xmo1kP4RtYbVMeZgCi8UkYBCSM9L2kHOoW5NSq4n
F2HDRMyRbWrbDz/plH1Os1yotdumB159a5EyoHb1ffjZGyZnG5U9h4Srue3Jy/JgZ4bLtTeYxqpd
UdiJPbW2w5R6r5VFOeT2z/5ZVJv0mBjwSaM3+c+lwwJEC0ddO1Pj7AxBEwazMv/g7b9Um+r/VUVP
Cun/l73zWm4c2bLoF6ED3swjAXqKUkkllXlBlFHBe4+vn5Wpe5vqmp7bMe/zggBAT4JA5jl7r72b
3ZYg2lyj5kpsrS8/ufy4jjJyGFpyKXdUhFQQ+woORnxFg6iQDcQ6bd8dr/LoqLIOwbzwbxjgosno
kP9gsfAGZV/E6Ndvu0wT3wuFmp1OC/2UGlzib4tozROfjET8QuIlK7eZdo06PqTCVgQutTqRRwGR
Umym0jgkty3NjOg+jOnWkwOCQXbzxQJRPZCbphl3edIJhIsBR07va+hxHPM2zSnamMTPpMU4+a3w
nMh9zPu+OlWf7nTYlme5sPNs3fSVqgUThQdYSHCcB42r4wyG7STXHDfiIC3xnBxb50mbME07JUSP
qlm7E6V/uH5c97qTJxbjTB/Kg0FB/UXj+p2JwrE8wN+2QbiEfunF/L1xU9iyRi1/flmdlot1cfn/
NctEUGLjWX60OhqlKmHaMsTx3Csq094KUwuQJK54fH3y4JZrt82+tbVtpTJFcenbOcuqneQiirRP
1piMPqGTfJPi1CkXjjCi3fbJTeIMkUrIVXkfefNtU+4zsJfudZzKcsvkCk1lUTz126rc++553lZd
bfLtnvMezQi4B11DVj2FYLzm7UnvZuuodh8q3R6DAUZtQMCzEYxkcviV5TGFLoss0GuOs1wMJXs5
ZNIwom5MsbOTq/J2Tir3YQEXXs1bmtXiegKKl+AFKQSRq3KnXNTiZrmmMGrmoiGOtNtj5Ob4wRis
5O1J5E1yr3wiNG188kwHq1V3gvghtxPxJLdnokjbbMBvkd/MAIWyvLi5kuMZuRrL0afYmYo1uUmG
Lz/CbVve8bb5dnMhx83ynvJBufzH3J5T3v+2+Xbzb6+W3h5D6aPa4+V/ewfyce/e5dsd354DCyz1
hdDV/Tbjol8xo+cyPXHRk9uhbo6Eb0ExkvvkYhC33jZXl0uRvLNcuz1Wbg5rE4N538gNM6J1+raK
SHxdcZfzVIoprJpy9W3v7XluLwU7R/WjnIxueat8PfmQv7vzu2e83fzbW5QPfvf84lPIfXPCmYLs
lZvh8ua6lGu/bcJdJsN2nrDqSGOmuLY1f5pM5Zpp0Q8OreWn3Hozmkrj6e1+v23KG/7XfVUVZwGG
KpWWJ0ZWQ5KFfnuut1f529uH0Qr9xm4guP1pJb29d7nWyZOUXL3dB04hv7SBj+XdR73dx9LoMozN
wasng85k49/sqdKyOik9P7mj4YdRMvuprqHPjvkwUoISg7xiHO/iqIDQJUZp0pzryCHfb67Pt51t
qaE9aaA//X4naQV9e0r5JHJbPsfbTrmtLvm8hTQLdgvvGv3gya8ngOgcAd6pz5FPqYrVbxs8Rhu3
TaOtabUGEau14yB1BSs0ysvebK7TkzZ3gbOAqhlNFYSMRoy39B2/8yGvcqQdx3x+t20TCHsqxaXB
QyWKQuYk12JBkZVrJmBHivLuIRZXn06MLjw5qkpLGxecobc+CV6J6itnTef8TxAOV5xZ+DVj9KMo
BsT1OxILudNWAMyMOvqQytEe9dhrd7lKVxxsmntS5x5f5EBo+iwWg1nVxwSqtVQX3iynBY29NGXM
0KqleurFYhK8ia6l1B5V1ndThBrLXOTbQu6zGSEEhmbQUXNBqcI7mrYyYl3vVsCPCvVwrUk/r63r
bgt5OXbFlVguupUOfFV9UjkFc4oQ34QlxlXyi5FrciFvyOsIgfCIAYMWGXGqcgGf/tCt7i6U50ap
J3znxX5blXvVMrkuJhHSMLfGEwpuj7lGwueN2uUg7drv7qyJs7V8mLxFrlmCi8ePAeulf7cQ1fZ3
m/JWuS9piJYnVsEK4MPB/fVoFtop4ivPiCfYsey73SDXZvFVeTP52NKpK39fuXZbSM+u/M3lPrnZ
S9DZbfttbR2g7CzDjvQCMVv400kvHywfh0T22tumhmOPS67UW0p55W2TsDIxkZOTvU5cfRtsE/+S
Zsq7okgxNyFpHv67O+WGSEnA1joyVfXWKuwO8wL7Er03X7xOJ3EDA5FZL3lSAROM2J8cpwpGox4u
cjE0k+/0g3uA/oPoPNIYdMjFUFCH2pimG5DhV7+dwBtKvf8+XYnRV6GpOIhGME7kkS2n3GhIKEGw
IPPFNTFPu20Oq0kP+bYt1+R95L3lJlHN+Zt54f+Ltf9QrCX/1cUe879Xa4/V9Fd/ztsD/lWq9dQ/
yLYkqNg1wQ/8Wab17D9sE1uOTYax5+i2SH75d5nW+INWDMekKPDaPA4/2i2cycCtY7kq2HTTEY/6
v4QzOZ6wtr2zvqkewUwmnXfDJInEMYzfDClL0fdkviXuqTGyT3OvAfukGdSVeLiFllUN0xdXX5IL
yqRLl6zdOUZ85DuL/k1JjWSrNEsOtwtbRrqOl9r9GjPBOBpBihrwOQEvMtT5r2WhJrQs3s/Z+doD
XT+bueMPjNAPTpboHw3CkufaNc612l4SeEnXYXqGEZuBcMRtD5H/o46J6sPi1Belo5RRk2iZRAkT
tFKZ9nYZeqdscp/MGoZiKwIws4KonNa90DXchCTS0K/Oop0xQOGziGbdgcnYogTCva45ybHMILHi
zf4Ue6l6X+m4bXKDTLw0Wq+WowUpRlpU06bxoSntV8fOQdnH42ti9bTOWuuSeP18NN3umfxeQO15
N2yMsIhpJRrK2TRJPJj6LyhflWsytMEIMt63phCTtjY/Z6Sy1YZ5p5tD8R2DzrnqkgNx78uHOSzV
ozb0R9fIG98hZiAIKxLyQqDaWj+qu2hEi9VaztFt6jzIsbBvtPqeZnqZmKnfiDrxSMHSWKzk3NbO
GriTrm9AX67nNjMOZn5cerhgjdbtZ+vgxaQwGvAUvAz8uhsv37HJ65dloHjlUEMGFogabxy0/Wzn
mMTLr2bbPS96gvA5xOiRx1gYQrBkJahZ9BdUb2q03KiZkT2PTrFfJkABVfbQd61+Gmxj2mrr41Bo
TKyqbWovhMtZUMLzhHS8eKvroyosPWixKY6hwTJ/GUZ5NsKpP5dKe0lnxbuEk7uzXxBCR/vVQxE8
K46/5vF3c2rIe9TJEhoz/dRH1pVclmJXWsl8SCrIMrlN2pia7bK5UPZqOnwpHRDkyboUpHZPgVaG
1lHXtfPUEM/VOVG+RS1a+nOM/JhuMH1Jrnjj6PwsKyvdEvODsyQKf0K1mg5GBocho70QZMmSBFzl
cHApzgerRKs6TihmCX7WgJePX0tiZg+52QNpWAGchtaGM35/LJTqaDmRd17haS7LBnxj+Kla7mV+
iA2bH6uNBq6Uiryh7BvNDKza/UyNeT0vpNEgCEZrqdcf2nZE71hN4yXVfpntnN/RMwarUsYUq5Ww
CqAdbmoc4mdbm8oz/7g5SFv1XJj1cKw9kpJoO38abArcZgY8OXYK+6JWP5S5a/feWHyJlh5qhJuv
gU56yYloDqqC1lXVwwvt+DSgsoj+Z1q+GCBT93nP5FyxFBI1TYe/NmhiCOFprB4LOADDaOIxMsu7
QivwnYPnOZSevbNrAAUWPFH4kb0Dvi8kWSYb/H7prAMp2rvZyb+X9mjS0M8jP5nIVfbS7HOfc4F3
RjSWFo3zr0meeLuOlHAvdh/biRMX+kM6A4260d3kbHW4pJuQowaunLZaoJGABmziwgBzoud4gLsP
ub7+MkM1cDMIZMm4HYggD6Atvrp2dLQrxfL1sA7pjTeHmchE3jfxu5lzhHawbEpKkVu3NDB4VdUZ
cqZfTQt2uqHDTZx8mW0DXXnHML/AFU4M65bUm2eSbM2NvfSFD4dy2uR9nWzarl78x7YyiVMIhwwu
1Zxdlceo6XdOWSZHvc7vzW4ad4Nl/wCoRWmMNjTk5abc0QSGCZIN+pE5Ar6ZXAc8lj60nT1uvTyj
KjlF+7K3m6CwiGGwFZfi9T2BWHSYMw2/XBWpVHmzdEtdc+c1a+j3xed6bTOIKFbjF2lSUpcmeqVZ
hd9vCqBwrVtl+QlwOgvmDBou2Uq7wlxcyhjtV5tO98ac+ZRND0ajW51PxevsTTkBIO16bHuk8yqJ
6uBjLl4CrndIyh/V7F1I/MiuGfXtTa/1SqCOYEnC4ZjEvOUKydMGipd3LAuCq9GIwYtUXlehHkhm
8HfVrLaBMZHGPXn+MnuUEBIjeuGauwM88LC2XhKoJMQE6bJc0hRjWl4W301beVbU8KxNJOai5UA2
rzOsV8ZPDd4PqrE0gUDK5a3mgPHAVZF30ZNXjI/NWFq7dTbarWFa2RZAqbGb6Ulu3Nl5AvaAeazC
bIoRVb/P/Hx8WQw3PA1pj2VNd+aA4HIUarW27LGZF1fVwT5kCEm22YlBplN228pcH8Ks7UETNCj3
EKjM+Ho3a+osD5kG7EaDsEdQA6onPHubMHK8k0tQxSbDAbmZ8dEFupe38EkVoPUe8IxY7w+IOg9V
MhyVJSoCEojWoOnGFpjAQBRLl/ankZasPVrr1bCh0o92oQd1NZyTkNrg4M5Y/JX82V3c3FfG5llV
SUN3oy7eOuMMtm+ZqcKpOke4rhBrvvK9tauGjYpU+atZLZx8w3432e1dMtSXgqiSM4p90gD07mJ3
/E2suUrvJxASdmRcV2C9Jx34bieUUGVSRIRRHMYQh5Gt9Np2Fuw2ruzMPCcgbzWqNUYtJGtoEy7W
yeaKvMJarWKCdRzot2ZJckbTnB0S2D00GmIWm27d1vH2iMb2ChndvldqHLlp3R/BZAW4P0gv8kwO
BBeYWayTZF2b+qF9UmijHGLDEMyg6GPogPrgCt/s7bAe/YnMl0NLscGN8a9ZtnaxQlw7cZpad2Y9
0hKpd02tzJfCQuWTj9ZxoBG7tad2FO+yuO8ShgEe3kWFTOcoV57oe0VHtRc5CuAthPsyvwwwhpYm
igB8L9hhZ5o7lWCDyWaXm+fp8NSjZnUiZCJvdeERI9gmihYroFfXBXAdVtqSKJ2H1v2pk/EbjGia
RPtA7pVrppgCO/og6LII/LrxaRZTcXeAx9FUDkFinmLDoLaB2sdpRpyw3p/s2viaAoUFJQixENUX
HcE6P6i9erDUYTnJxUq2xBaZwTeqkh3ZnOMP6OB0emXjTC3Er50TDiYbZ4W1DofQUgJ7htsBYA/a
beLNDEWzEg6rW+9BI9D+bMwem0XmcB3IKFz7Stb7KkLDrdb333vG4Jsooy8l3+QMgIS/o42HU4C5
5sEiLGKkzmV0z21h78KoA+uhtM9h1kMx+bMRp3ndJa2W6K2jEYmwbDzoO9nCWERdRK79XW+jAHxj
1Il3kL0CuehE/0CuLbqhHJNo245hco5dSm0V+JVQTc8N4lZQV2lQDq7mQymlH5na0bayMIlhB8Nn
bNYP8u1OCEj2MbheWeWXHRS5MKaeHtZt2wYIs41C+9MsSseygzLWUY6SSvztqUoSsSDn114LpLIt
W1y/FJrNsWXOLVc70TnKVBw68nhTtU/aqDWwYShLjKOmLL5cza1OML0aN5A/67vm6luLVe7QzOph
BbBJm3X+EjVA8mQvWa7dFoZoQ8rOsqkWgY1ieLMil/pXt0OUC2WXSzY/2iV7Veuu2d52ZXWbbeAs
Mc4Sc3P5XVjya5HfVadbF0tPwp3+EX3XSkZzS62M/EvUgQDkh0SHYCIWnVy4v2BvY/6aKsx/Kob5
LGKOQoTneJpHXEsMdrBcOtRa/lx4bTad1BxEfOatzwXBzifwaQowOHHMJfRtGtIaZA9ULtzRabeq
3b3mNOFVf51IISC08SA7RLI5KheukM+/rUlVv7rq5nZW+i+yLSoXjlZyunTtZsfAkXOfQI1if1s3
KUZ2etTDNWzbaE+BcSDPomsfPYeEK3mj5LwaOP/8vsG2Z0Yr7cYhn/uNChIUgTxnj5sjQa5psicl
G1W4Dl8SF7my/FHkb2GIH2rMiOe1S+epkwVe2axsbA9WlWbv5S/z2/FLNjdzqi6d33qz8i6Oxyxr
hEs1NOXqywN55qxBUUbUR1sGBL93UeW39NZHLkiaODKdePsK5KeUnxeJxXq6fXJO2+XOxf5dLFiT
xhaAhGr8REgwbuIZbYLTax80ZsSOCbrL0lvG3gboYHU1v3S0oFx9ROFKE3FZKiJJIKKnbqlt9JUw
EM/tX1V+FRcnwZxPy+dWxEDlLrz6sswTruOegTqqz+5uixmuJUXt5NxB3ffMfNjaK/2eFvOjUxFG
lFiPY+zGweDdCXCBHoUPrc3cTYm50OMnB9xJUVS3j2ZnPlZ99dSYO66YaGJN2GBOxuBdK8BmeeXd
PN6lZfkDAskLLDciWhQyxSeBIVBf0jjD1uDWn6Ox/Kw7oe2n0L15aHqFb5AfKnP+oLaEejbpbpoL
QuCmBvc9zlG6r5+Gjplny+gdVWW3G9CQ830h8I7y4TCFC0MfZ/yY1np9pvt+1xuTe8Av9Yy7yAnE
QFU1wempWUJeoMr1NVL74+A6BBcYuq8t84NXuB9To1B9ChFn97sQJINiLg4L+slHi/A+urLjqTPN
u7z9Mesf3PWRnlCyQ39JCkuRXWJr/s6EpPATRbkqII+FdRskvMls3SVsLiuKZmOHTkTNQeEXa5+w
PGDZfVjc7Ge4JCv0tZgTaB596wYGK8qiAjYbsotrzcT6OePBSutHtyXGlKmeThFZc+2Kr6t/wGHK
OGE21o1Z5NtwKu6GqhkY9Y136vwSOk6/6SP7jnBpv29b/hLakmzgP8Fn7QOnrp/dnGsd2cYbNWVc
5WbJce3h489+b2bfOmv82NnuVyrwwRrDWR4mMg4923oiXf6EF/SxyUk+M4DSQbL+kenMqUcSJzbp
1H0wQwe7OIksbe7pmyhPXoYZS9KoPy9hiBcFdi/Q1Ne2NdpgMJrjoMcOYVHDQ1GPKCF2qzmfey8V
ZLJfXYLR2eu9OKg72qCzdWnSfNtZlV8NGD+1JnG2UPH5ItXusaihPC4H8s4iv+yT70TOPabeApgW
hVm+4AjG2npxwvlglMupL5ZzZlJrHuFRjOb8oxy0a1y0zysN+Uzzvnj2EPo6/yNimOgdGxmm58Z9
IH5iX6r5dcownDAm3bf28Lmqikfe5UYbEaGDvnMh0DHxQp2ymw3AEIsKyS7kHRQVM3cnIYiBnyGa
SMEyGThmW0x140q9ZrSdXTLBUsTx7lumRSR04T0kc/cZWOvJscLFD7vuM5isEDFkdux1m9BaFx7F
2kaYGudsPOtoevblqnxpy8wLQq3iUnAcmPQ4VefsQtdmctuM31R94OSnkE6ge+Qfr5wO7EHrBDkd
ODLhUqESxBkNcPRuyk7Jk7NdogZ0RfIy4c9Qj4sg1UmOMlCr8/JQ/GbKci3yCNAN3RK4fYTvGu9v
Z/Yg4Ca12bsjGQhp+StvCMkZ7fqzi/nEr5EwVpr22i9eF8TVeMXbiatbxVIKYQBwao3eKBopipsQ
07Pkccni5TyQy7eJxr2RoY6oi9g7qBnOH8dRTimpmxdVjy4xSaoY5dX0oR5wDsJB3HeW8+jFbe5X
2NoDhygGM5+dXbrYvxhZRFtjGBvEoQ+OHmmnuXhZuuQD82JcUWZyqTzYimRC/DIGr/G9hoJEa3yb
LaRtK4Rp9HXVdl3N8+Domk9432Z2446j/CfIS2e7pni50agGGZltM2rxxHDvrBrwEXoC7E22vgO7
s/FSnrtWSwUXaflMdvNDV1KNLTJj3Ku9qZ0YwL5w1eg4pCgELqTvRgi+FQd0zEA6ULp+B3FT3um0
SPzVUexrn1v3qgd/LFcaYLyFtWl7AgizMToC9dpQZQD/F7q/0pQGJNMQy4cFOASpk+TwFbRtbNWf
OyrWF05rBHHzaxKP+4uyx7LD/RkYZlYfcGU+NZyDQNg2v+Ict6MRIjMs2teYKsqmmX65ACACpSTv
DDMdPpAPaPQyEPRIFa1CvfTtcI+b4SeXmEvHiWwHQZ0xR/95GN1XLumjb8zEtHkw1rVCpe/3M7Mw
Ok/rMJHnzLUxZUw2mAZuArejerVLCaXhE1MGsUgN2Srk8NQACTZZtbaUJZWIHmVQud6DRuclsBTO
Moxqk42hTiT8miKualW+Y1LGvLDAtyZImvNB8thm8HhtAsI3dmETCTRA8OaVtNx5IAsRz4Nb1wHR
ychLiMwd7qpQeB3Mr+3slIwzh2lfFRYUgtfW5S9faB44vGLaGBrBji5vrerHBT3HSiJpN5yaKv5C
ZnPpr31AepUfj1N5D7xj+RBaob3BBQz6fI5UkBgEdZgGZoSV9DKs10pGjj0qpHw36vZjl9YOzc4s
PTT4a4xmuii2+x111Z3CLCywTdRPpfmxzFa00WlGZkDFCS0axodwNPyhremeI3DUi/mKrcq8Iz/y
ZwKgdU2B4JkGSgNyaoddfMqKvA3mLj8nnCV8xSavRMvh0K5V9CmxtkXfmWcK3n5UDxvT0h4jDv1c
2xnEYFnO9CMzso/VcNeVLv1sOgkBZh3PHwf9tCQeobbFSgXOhlnq9vskVJKHZdzPhL6dKJMBvFA9
CBCW5QVJC4gh0R8wsQ9Bbn7KqG9jleOYkgtntAFjlOFBK+uPJie2KZgcOuwEHFLxojhUoyPeUguG
PtvCXEkyLv7RL8gLNWkFprp3QqgY3WCLkyEUCwOe6gxGKB68awIIbJPP5VM6fk/6cwh9d9szJAIY
G0KjNIxn0KZs4LLuneybF2I1oxfRHpZ8/LJq83fGTcAS8q8qsJQpy2EepFVggICHUPLByHk/nTP9
nGMTn+p8wZpjbgtnxRZrfrOsBTVXWdtMlI+ryvQq6fPXwXQe4ZCOm562t2Wk32vd/L5S8QjqXuk5
FzHVHDjqXBcLZoI4rq/CxieIk8R1sseRhZZCx898XxnA2BKbBq6m8qdFg2K0Wo9G06R+2xRbq4D4
qXlAgatpp+cpSPtVlJKm4gXSerUdnK6mmGkc8fOBn7eG8wLf9ATU6N7RgKgWbqrgpPHsoEuq+r4H
A61mbcmF0cRANZJOQ+5tc4mBnGRqAUTNIXkusYCKjGWgqj+aug8Dj98RZba+G2yNvqrqfZvqcpsK
6n7hU3Vaff7ixcYVBfNBWy5Oc51WihZeW30scofMdWXBH/MmfM5RZpKg25/kttpEwCuEEPUlF5Lp
VtYRCqGrltu3RVLHnC4szvRK6SBC02ryPyYDtLMaB4t4BkVF5prIOZvL8RYn6Rt9qZyBDtvLvGPA
wyuI174tQJ+ufui4qV+JF01nKxcaj1bgn+6wfX5xKWUQruQNb71r2cUu+7LS/NJdRWDUyHWFaDQq
AlE0nQbRZ35rGsfJZdWici/3q/YX+G7LUSoWZGfZHRgIrouFqlHIGKGBDDTc6IzITcfuPfyZtf0m
+ZBij1iF3naoGc5EDYnxtLu6TYIFIHCE4NMSCyo37xd5T3I6nH/wMwKBL8Uqc2g8onpkpJbkH60J
bI4ltJhyIdHf65jxsWzlEIqJc5r2kJHEQq7d9iFbfOgnUB+EK1KUFzPwKETf8CaruGkb5M6yjYMK
H+FBFQCtfBUmMrs+4L0dTutcE52VhjSLWgufoJRP5KKc1ZSuvgmblNjTHOMtqKtqq6Q8zhbS3lpo
O+WaKTblmrhHA3/jgNPBDLoejHYfP7gGJnirH0YO/IHcM1XX+Ih2C+pEVfRTYes6MRWsjSmafLhl
/iiC4UKZEWdNnoIxLruX+9KIM6dc02ZTJ6fJpsBZDq+aISOEGkYTSqydzBC+aUaUnNgooQGezL7s
jxm/mJTVyMVNZfPbJgPebpvVuDrl+1Oq2eCQDbSODwxM0HhbyN1L38MVrz4MqGgIRbHxP5CYcyXR
nc1cvFn5jjMGCT6mKA3chXgzQmlKbqR2kptyYTd9GjTtY1ZzJS5yfiZYJvL1370J8SURAOsUG2gq
vCmxvXAgQI3gHy7yjkP3o9m09x5OP3+I64g5F8hm9VMRMVlZgQaSqYvOM8Umay0OEUMzAEfgB0Zb
m9e1gJddVJS0lZFqdhf2F0234Gi76bdszr8zBvJzgxCqRSdBSauSV8sqn6ueoyRbSj+uNHITM6gE
9jLgNc34uuayOjPMZy6h0Dwck64Q7vdmZyzmuWdG08+ltScJxw5aJQ5+qcHMfHO/hrhj9TY6U/Rt
2XNsE+250sZXRUiv7NHtNlGq8C04sMEZKQbt6JyiHo+7M6pPCk5GMr7IxJVKiP8XjfyDaITxhfef
NCP+tzz5VbVl8hflyNuj/u3x08w/yH3UoGvapmFZJiKUf3v8dPMPU7VUD56pZoI5uJFdTYyB8F4x
86HnIDrwvcdP/8MyDGQj0OE5f7j/N7Krzuf5i3SEt0Wuso1j0FABmprCAvgOGdqvRlU3w0Bk6WTA
Z6jUXd3P5mVU63kf1fH4TG2nPA5m4gZNYgHbbq12o/VJzaBteBrDqvhYqPmPqKguEDjjXWiU18SO
gyYOOHOW94XqKWRg0L1VKNozXxuP9FcOnVc/T64735cE/957vWvv3v0QfwNptX7XxIjvW0XR5Tim
agp07l8/mFkudebFA91j3Sj2k8eQtzd/rGZrHcjqKi8VQYegzId0X9JHZ/TfuZd2mrUr1LnXPl7r
szeP95UNzEjXKJQjPOl3or5319JlVad2eHAEtMozp+ygzRH1H4EHCd3w55hNyYETwGPlDNpHpyDj
V9O7cRum9XhO3JJul1r+6qt4Orc2V5rFBBFRNhO86jI9G8OUkrDGVXl2Ome/AMPY0gUJUVRMD6Gi
uEHHSP55mElN4GITn2PUAAqGv8VVnkg+Mw6luYx+FLXJP3ynNsfq7wcLybMAqnWP9Dusp799p4kT
u7a39Fdc7/0OS2Sy80Zz2Ea9E30caSxb9bqcFLIxz2BeKV7U6de+mn66ZtTtE3qSZJfVmIYy9X4c
B+PQV/2wpfGv04EjEqC1nlI8F48a6fF80fqz57nERYbW5yjvR7Aj9rQZcSGdkZcy8XRXrPnpKlIP
po9Z1WKbsNOnOY9LRu0ZcRN5XGsbfFwy8yreN1ZIiVjnTA9/Ir9HpxyoA/HQAczciDP7pH00HL5L
b31wocG8LJEFXq6Ygt6q47tMq+4XyE9OnWTCiNgjoLUes8RdD2ncFy96f20sWrfQaJ7eaUSFUHQU
tq1lSf91Wv4x/1f0Wv3NMa79zz8v6jLiN3QHOoFt6OI/8O7PCw8xmpQ6766l9V3KT9yshTs5pkRS
imTClLze82haNtVdM9lnbby1w5KBSnzumzYl58e6Dr2pXijPbY1Y2XtibtqoL//5v4gI7i+HjaOh
nHNBE+ucY1iIw+rd27RULmR1F5WISpTulGaAUe3C2lrxlATElXv/8HISA/1eDideDyGcShEeKa3j
/vbXrzn+16aNq2vQKVp8r4B/hAhEJ1W3thqUvCtF9nKbGKv31PCH2qgEYNjeUJ09FYDaYKqPRCQs
XvTSG/Bt1MngdOZ8T6nL5n2ivFRxDkexDet9FaolEODFuSPhvd3VOhXMTg3tu3/4/sQb/usH4r+m
W7opMN/iavLXL9BxmPNGZZFcUQF+dXIi1hxSLClKaS2nq4gsbTtD4eWQRdaNtXJBfJDDuCNKI7Wb
R2bPUTCqMRM6HoSjYD8hRXiQi8z0XmkWOUcj4S9IZG4WTOoanee17BHItVRiWs7sRD4gTVmn3TSY
HFXNBM+vpV5ejNoJdKN2UhM6C13r5GgbwmYTIlv4BPkv9uP4tGghiWnp4KBLJLw+KHo/8taOU0Dd
7aIaK1NoZYSTUWXQepRqpabPAM2A+Sod3NNOJWW7hZAQarpJXy7RLq4batTcs/UQ2Xl3DissMzUD
3et//t4t4W//7Xt3xOXRsD3d5EIi/n/vDlwKRVZpWaFyt7h+H86o2xRrwqfZfp5ihRPvmOr+hFIA
dujyk7yG9NUoNCISkJo2maPhejFtIFWpeswmZdxDzQsf04VImUTcd+wAqCCsGYbsambGcdbt9Gta
ucumgD18T210eWjygnaPlXMmKm3zm6lRlPfqR7NxLSjFnbeFhw4SslkeQFJMl5UgsoAWO+zsUnua
9MzcLXpjHmKIIz5CqZKZj9rsSpP4lUSkDCjldJhXcl8IMMmvwGo3Y9h+GbO5vs+Nun0xnQ8tnqtP
bmeB2db+AVmOcux/HNqGaXBGAM1Cki1Xld+kq3brJmob98YdIRcJAY25dvbcQTur3Qx7KiLQLV9t
9yBvkIvZDUPFJ6NJO7fkxDS722O0UPlRr3X7bte7u1hOqlGUFQ+8PdsosoZGB7rg2/PKm8M85SXe
3XO1FcUvExcPoA0kUT5cIYv3CLYTc6V4Q7d7v72kfINxoYY7zzRf3vYxG+Qd3F588eBrQcMmO66L
ST7/u890u/e/nlf7CfZgQQ3PNyUfIdduLy83396TXH170aEu7lOCHNtx2Fu9q54r8Xh5BwLKXOXt
m5e3yMUiv365avKXzZprzDV+T8t/JcOFrEIjPCeQKA5WkFTdQPowp77Rm41tSgbarh+HwZ8Yx74g
Lfq15ugplv55UaZfY2VqqF+MS2quv7CH2MG4JB/7LP5Gj3mlUTF/rwvVCtJhTNHmQ06FfYp+tX4O
B+eadlBTqc2gFW3LTzrk1l1lrXfloG6TVov2A3GSXPBrbJr5uEtLZWvohLDHYWVvamocFDAYJmSh
ftX1CRjj/GFSuJxHACeTXN/0kz0EU0j3Y+0RE2aOuYlcM9/pIVlerjo/TRR9tmDbMOe5DsLq9JXR
mejjr8a2SHA1oveadPsT2pSrnfxs0vE6Zk56h274yM/W7zK7pUyt3w+Rh7s+nZyNSpHPL2zCBx3h
nOVvEJQE/e2hJD/GBkovMKY7/r5fzfyrW8BHpDBYb5LRBdLemfvGjEmcNjHEV3g3ErdOeTIXsSrK
H9oTlypr7G2XxB7tY+3zOq/KxjVOmeFcaTzEZ6VHUpJXsCItjzaS3aIab/WL1UQNu7PPGYLkuKMw
o+Xzz9Sqn3RKVEFl649p1N7Bxaex6BWPK0izTd3V+8ZDDInVQinDj+ChwyACnUTFZlsO4w9nnoM2
L7N9T2jQf3N1XjuSKtsW/SIkvHlN77O8e0FV3b3xBEHgv/4O6K27pfOC0lVWJglBxFpzjrkdhLTu
lv2VNdU6hJa6b8ZKW8fWsPJVvcaPUu79yDXOQmdkNDaM28mR6rUm3XMdu+6JK/YZ+SDNx5hmburX
GydDetbN2RPp8Iv8r6fCK6mD+oySwrYgxw67yND04+hJtdEGDrDSr4FWN5eiFWRCo8sa4qiig7OG
xdscAA5zeY/lRTrjHjNqeGypCTGql+zpBmibQXbCylQx0aBtyuymYCjOvFdD5pQczAgkKwyofKjX
mqkAJ0/gSgm2oIeG7Kr2NGzyPYXdyRz+QZ19yoc320l/u6LdiaHuto6dPpG8VdNG9k5Cp+8lCHXe
SZR5qdn9WF58gfNDaT55arjOr7rMuJQye+70lZ9WapPA911hSSZRdjbXG2faR28Dbvh7X9nUKaG2
Vqp7qCkYbBpWepMunmOrMtetcCk713C7HbPdCkqNpGoY/RU5866TdnQKQgMyVfliddVe95NoowQx
py1Iog0hyXJFLdhZNfTQ1+COf092h2a0avotzNqpIseqKj249kTJt0WDRqeHvUcHvKq1fK+P7s0x
9XqHgWJFFo+JLM6PTr0x7srU+6Hbc2fAyk++yt7GViNLMajGQ2lapzEcactk+qmITGdNsNcMtowe
bdo2nFrpNg6/C2SEgOsyjoPB37Fab076WCHjjsZb9+Kl+d3qY/QGtb8aYa+upwkLkvLbngCx9NYq
21wXLaW91FEvsmM9CHz0onnoegePU3koq8PE/HLOCH5lsrVLU4Kn3SiFXCNgJaqCPq/85Bii5176
PjJzhAVOUVHQ7sGYwlX91Hz23+B02baqMvqIIgmhM6MaHJATuKLeejk8b9HazyYzVEh2ZXnodDLM
TU1qmzTw//RKYm53VLnRkOGzHPpxiPgT855O8MVubV970xLgIOCD3zvP3rMUG9bVRN2XApSTpNdh
5oaBmtYZIPNNKmIWSiNlK6dknCSTcDOldvqY+8m2M0f1oDAmprV9bOs04QcAAe4S976pkDZDMCej
aiK9YmjIRWub7Av0FXphc61cgGF58x7T/R6y1qeca6NOHLJ6QzjXbXQehCRTBRC8IqzBVTQIycaI
3cdmMv2tNbJobIrgXI+0nyAYrUcdgPeQ69beNtqVJ6V27u5955vnolrD0XSeEz3fR4yH67jOojWZ
euRr1wUhnDkz0MZu16yLZrIYyhLni0Dwi4lOepWV1otDspIX8gtPTXz0UdysxzDIaG1Mz6ZEuUkn
FUMq2Wi7zvrmBOsQsievGQPneqwVufCm3MfMqqcsKbGC2mR8ZNG+yFMSzvSS6Gz4lXXK3dqr3mSm
PxGvN32WAUSPTCSrMkgJ17Lcj1oON+wL26qYCF2kS+d5CEuFHa9b1N4UOGmzoGcI0VBqe5jdiLu0
YXwQ1By2ekLkqIXPoLWsZ0PLYwo4ghHApPoIBPKl1Szk8wZkx0KT3g6xBtk6lbOnMPHgpQM9sOmA
NfiKTvtPW2Z/DGTv6CSGAxi2Ym0Yw4deGuXKmBFACeaNFY2TGT7WXiXwuI3dg1eMWtSeTvnu1hWD
NAc5NDTQ2DWrptiRx7i4KOyjDDAkG9u/eoSTuN+ND9A7iNt1uz93UaDdSiVwl86vWDbL3Qwoyl13
4+EcOlOH4YI/m//eYMf8IthjZuFPGkXXdjiAFfH2URalL0mj/7O8h+rHqwbX+V1yPd3ZSJdOfeBp
91HLadjO71H6jx0h5j9umiV0FIz4NjRCXfIWOqoV1Npnhwt7eS9vIuTQ4xr+aGqDOLIUK/ZtAY0v
JcyQSnT+7WlV/ZvAtDMmxOZDs40SELkmLpRd+quGn2QT6G3xhfB3t7yUXY8GL4soj8TdyOqtz464
fevHGiHn6u+7od6Cb/TL9DAb57qu33Uaqyc/1rodbXHrNawC3CX8X3RJVyTV8QeVaoVFIYovfds4
1yjjklHZwfg1YZUhiEzi9AI/PLayfWbKcx5YNW/HsAsOyD2NRx0dzGp5mW6/owazf0Z83WsL3O19
jAYDLy3Ojl6vE7Ct/tvySmeybyla3Pc28odt4g3QWjUV3cjo1hBrGzTzv0owvEI69W8/SuqV7lrp
c1DXGhSJ0UR+52qPtjQNmCV8FxsmF80M9TPA/lvXSF/urScCOgwhsbMwhFnB+y/LDqJ1/cDlSr4j
ULW2nAf9WWYSfrvXpxuhm/W3QFC3vLRCIInvSzhPVRbmB1fY3QEpn3zKLfIYlpcQEL3yYz/81pwk
WPuGZt8Cy83OGpryrfSF8xYG8fPy0qiNnvp0LhtI3d/WlSPOBcfdrbYKdMlua383efDvjsQpviqn
snsywknRnIirg9E3+hPZvaDI52+MnJOOth+sCDXWb46ifUDns7ooXdq3ZhxGcICF+NXb79qUm994
KvSN7Gr9AquuuZlUB/++oNTOtWXnPymJiBtNq8NLp2nxjTAi9EKkP/4KBOvL3vgpXJTutt2L64gS
AieSESOJ5F8UaKc54LBAppscPvA1dD117Vu32Mh09H4g+P/9KDXyqxYp9tVv6uRqVK3aFMLnmqys
/BJ2h+VVTPkcApji6iYGzbosL9BBbH6P2tPyedwQowRBP/otw2x1CRR+h36a1HeHs+zvB4qnbi2g
N93GykgvuvTIGm8c/8vjx1peQR0CiZxfyDuDp3OOR3NukI/NlyIzZPkvTtAjaEgM4448rEe+5lXb
mBHvM+aoXN5D1VGyZgfFD5HvFOdiHprmxf2nSxzH8griS4KVGYTqIYtgLxNraW5HO48/SxzRy38h
04F8b+EeklRLWBvI6dQlJTggJxk/0sHeL+/TkFuykp6bPcJ/xnHPNXfnulr60UXlcXmfeKCUEKf1
8KhMVDAjvKedk3J6MT04La/IooYEFU6Jx0lW9tEkEWmXCoxzpifehIEqYJiG78RHX+boY3KWJCw8
OVL/1aOy+ebk0akHuOHdJ+H+qseUNLz5D3Qzv1CXdF5zc05Bc1nYhLHZfxnqvPwhrbNh21DXOHE9
z7eWTnPf9cvX5clK+DEF1MqFSu83N5wrSBLmdwXW90QwTvuS4mY6OjK3twL73bfbM7lxo+9mqItd
q8ekWue6fDUp8C0fX3ebfk1Zy7qWUTjcjTxxVssbdt3w1The9twqyzolQIe3y+NljHZBNf0n9GNm
J2XaHPrBMd8mzz4sH1FYY0R3fDSID0isByeKES3MH9HNUBPhVvMfk9Q1z93IWP33iTDYkF0bf5AH
QsKUVk97PXCzDz2xN8tbdgOZWP6UsGjX6/CxGcsEISaLNM1XwUNVGg0RbNJ4ADRjXaam19bLd6dF
faTMM72J0mF9ZswKtyGYPiudqX07Tg+0Oeg62mGG+7Y2T0lqF8+tr33+/VQmB1qYiP6uJ4599TX6
AssTKp5uCNjL125yq2MTZKxxhzb7bgDozL98O/XOVqrEOca5gLNkhtSITfH0d+8oEpdRMijG8tC7
ObGK/75rbbSvPYXRZzAcOZS/HBbD/APm2tnkQv/lR7Ld4QDlkBmE++rXCPHm5zUDy9JyiLVRH96X
ww6hlv2FUxbi+a+h49IdGdlwgnGNBYtrexNijREV3Pamzatjnbpf9D5JLLUceRVxxNSkRGbn2sK7
Vpnr7HwPLqzsOq6q7VOgO+KYehbpJzqLVcM29r1uo3QNWlSKQeff02Z6GpvavopAbXW/CkCUtx2X
mB+YV9qDmcCltPrZQKp6exMM7khotPbl+RXtGSOhmdz74hVR2jFJ+2FVhNLCJ+Af6pI1YOI13tWz
WFVHdmuug4TG22R2z1puf1HGIBrOd96Q00ZrHLTdoXUbcxd7nKPKqQbQBohEpiaT51B6iJjmTUTA
OBinIJt/tPLk+Qm2jeXm4Mx8hc4814OM9/7Mcfrv8f993fLiZWPNto6/d1s73kfldF7+bHmD5fFp
sYYsN/97kGE8WAtvzktdiJjKhtqFPHGmL3mk3GCnnHw1Xnkv5LKYk7ddVr6Vnk39JWEFFENx2Qu/
eUvij4IOFxPiIt/ULngr1eIjkPMma3XmulXHnL9EKIJXDuVLk7BzdW3jII4h8bhud7n77TX6eNQC
Y4Zk5ID0wY/g3SP1lM4jRrDu7tmt+/cF3UwbzwQ8jWLeLLeys05x6mAN5AQjhHSIzgZO8kdoGl9o
QVUumzFAT+MgsqMbY+4Asm/jthi3iew+CHcWZ0DQmYmGUnmqB/Ui74VHFkBUq/2yezjL1NbMeuQK
GbgkeComJoXudflyVEfBShSI6StGjl5Mp8b+AVonzhorlR2m/1ejg7FBsPuLnsakUc+gJXgu7CsS
SKd12hiXxED4uzy2PFsqpuik+mxiEOubEqtH7NUSJY23YaKATMki05rfLbbSYCMQ3K4I1uIbT6kG
Xt6FoFe/qIyHLaUhywu7rTC7m52StNyytCTAE/hNAWTFRxxVjYijRMSFF8FUB6G8DdG3QBiieuWg
KOb//H13B/IeIn3uF4kRrBFEkclgN0cjTA+KluFhMtpyGzFU0WJBVDLRtd64DiWHNMk1MpM8be0i
NFx3Tf3Y2mW712f0OTauYW8q7+JCnyeqKvPIekapv+kq5DVT3b8lNvxpITGdkqd8YrFoN1C8YvT0
JxK16hPoAYqQXYK90B9IVZ87elUlGH9Tc9waseWetCH81Sv1O/XIuPHbOqO9ZmG0L6t9DVY6n2S0
MYf+bYFWomosToularn113ZVaz2BArHdbZvMncgRsN6mJHCvYX5x/dZ70ISMsZLnzA/Tyj+2/OkV
h3C3zlVg72qpsU4npniL1DfdJEbS7kOvPiBrxEcbmu7a7LJx7yBr31qd0d60ZEqP0dS9NU47nZvU
ys+lsqunaZSwn0YcB44rLCxuWr4eAYuvaUIiORehdepawzqF+IGCEVxoMseCelwa1gHAUfIvyO/x
YWqT/BCSxMLMukKprI8vkd2HDxlBDFA0c0JG9Xx60kqqjPwfXF4tNdssTpMToYrYDhw5rQhDNg5V
kZsEmQfXsam83WISyjycmqtWinyvrOycLmDAeVMM1kOgoPURTHpZzGiLU+2/TTaHCvYiqPk62q8I
uAWO2GbNBCwkU6Z9cwFyq2yg2UBBZMH2LXhHr/ty/MzYjQMqVAv3qaccluB+ih+Uhc5WMvPnvEbF
3scZO8g06j1KvEvRjGi8/n8jXDQCE362FUzhnzAu8P2IWTzk+n/phqCMYON2uQVvg4TLatYFLhtK
Tu0p8d4CAQVDzTrCpknvSZk7u3yWFi4PLfjX5VYXpOgwwG4urrKcuPkcLwOn4YKANUdL2+re8BFh
B99TrXkojETnTIwqJLphSjlYzVkRy3GObWFGDGkzPwg2ARj4ibB2PxvPTjFcshQEOaAAJkczXkfO
YsVls9zV0bDkKBR4Rqd8jpBUHPv5myybAs7VJkStR7ErDk/TvIGxlG+LEiS+oZP9VU6ClDX9ZfHR
xbPEb9n4s8FuubVY7ZZbvJmFP59efjYrBhtYCKfllj1LDP+7u9zSK29TzGq+/7EaZrJ4jWwSVOIZ
+rNsiv9PvfnvMZ/4rxXwYHv915hnAYDEQ0Hckw9vmOHgtY3ciRYoUKrFq7dgHmPSg9ZOIYe1ZnvD
cUKk6xkVKXiBn1erocCeTdeN0qjP2G7qPWVoWqDmburFm91NFGps/ZH8OYu5RCXOPdrdVTMyXkRz
D1ZrGuQO9dwo5Yq4bFxm66jGE+z38y5piyygiB/MsjGG5eXrZDXnUMhyXddI0fHb3ZBk33oL/tLp
oo0cjf6wYDWXYQv+NYUPaoY0QsIHymvtHDOXb6O4H06ObQ8nhC6EQwWot2Gh6cg2i+iYKbX+ixct
PE41s9QBISy40YDMvChs86PZY7fUqaqt7cJaFzKosCdjjLNCrsWzGrNpTTy+uReVuzhsXxYv4H8o
y+XW/zwWuRyIRG/QceW4aBsRbCvUBrOuNt0CQ47XmcBCRK8QcIDhg8qKCTqZ9GjYe7D46e6yGDOF
/UJGg9zpQ+rfB0wdLcvcb3ow5NsHtkNhGjt1EYb9cbapEA5kIB1PWkrAEY9beHK9KbtYqHhOoUTd
DLfgKyjMa0KL9aVw6uHsd1a+yZ5jJxieSjUFtxKNATyQ7pQGNAStmN6STUscTgGAF4zn472XsCOg
Y5ZY01x8Acig5FaZPW2avIupxZrOxXDEvsjc+KHos8Jn9l40m7iIKCmn83IFugeKl574T0/fDr7U
N13e948g5VlGGXp4iN1xZ05a+VCgCh5d13oIfYwLZkDrpkZ9T1RM9WEEKLkLOY/WKUbRJeHFQCe2
MkZL7P6muVTRRHfGNzddEQUveZf+rvWwui73qMUzBRQMKjkM6bXCD/KOwxJutWd8tSSXglowUF+Y
RfI+2GRHzo97VUcXwYwNdOdZ/VYX9V6I1HkKevFZj5G5CTKLmpJs3IM5IoAxJ+el0p36HQqTcawS
I9+0UaneBWJ3BJclTaH5WR/EunQIZrQAUO9UERE6nBuxRpYa82ivG+t3zyVgApL/j7QNfg9wfVkh
sr2uNzGlnF1S9MNTc8vcVN2XjaWqBPHEEMA8np2FlTC+G61GPFA4L1E7gy5SJh4KL/9DS7udtceb
bDT/zcKodCj77EojBSaFiM2HaL6FzbAghW8GDdgYkWnVZyeV2eNjnNcaAnV3XI8Txhy0Xw27WiH7
z9MR6wUydaOaMJ1NjEB5O9ZHPXbMgyrzP0WNWrUtq+otALKzLhJFsc2etI1pITqDXdXtmDdg/eVa
+dOBwsi6Q1RZ+tvgJyc1ZDFi5ki+eOaQkw+HewwFF/Vk/aaU5vAhkOumxHyikVMTsr+hucY5ziQ3
y0lOTpHF4wlUj/gN2vNgiPCPlTXFVuFQYgap2mNfy+qtpsGBhQMiypQi+hqsmxuUT3SmzJcktpoX
FzeUl+LBGhvStodW3Uu+heuNxaGxmvKynOkJgfLnpNx5JBA1I3/Dr8alrnzKy7y9WmZ9Xe4ZHqI9
TZd0bjykwFYUr61wiu8HDX/fuzfk+3oSxU8fUGcLuzS6dfnwKYeKnEWb5rLhWB4qbsd8dObN1E0X
J6WOXuBgZcXiMf5JDrIgxZmH9gkzjsnwU9dQi0J3fLScqTp2Md220CKPTSAWKUca2mbI3DPsSgvr
LauEGLaiVxnxj6+YSoQIzeuy/UR35eLWUVAeg0i8BAFlC1f6X9FcSqBUWV1oEAF1wJKxqzIHZA5B
DL8I1tpiXpo+g6BDEQX/iXwrq91UwHJImRmb56YgzK2VU/JriEBKVZ77R0vlkJFFCmiG6Zl/ElWz
ZSCLPxFAAobx4+LUt3rw2I4p66Lh3Qgi61U6ekIDkdm7GevmK3yMf+8uz9LhpEnqMFUUKpTP7sDg
PIz2B8Hv016GEZKV+a6sh4+uNlDcmf0/ipCuWwcsOeqC/A7ESpz9lAQgi2CUk+MW2Z2qZbF264he
aYK9fS7v6u4vgjqZE+dp/GKHNALokoyHCKjv02TAqalTQX6QNfUv5d5xIvsfvel+BM3kdzLKOgwf
Q3HPI2ZJSYCxr6gT+jhjltJsIAa46tJXOxk+9QwCM+eH/42H7VH6pvzTu4LWTAjjZhIHij9kR6vM
WzkVOBk0SZRIHVzS2RipE+p09yWc+mibMiPYa95kbiLSYbCHdf0djPdnnkTT0Z5Uc7Unb2O4afVW
MbIXqf3aAV16LjjnS8tu7okWEbg7+saRg4gkUMcXW5hsxaZVbXMabdc5V13zLGT+YkirgZA1feWm
IAmaRBD3pJrkSWnK2MA20WCKVN07f/OR1TZGU8mJUdMqXksPiNDYUN8aA/w5EYzEd9LdMLGpdaYs
98Oiw1+Ux0Hqxt2SCsN/rO+kHRKQQyq3RSnpQJkpWTtubx/KrtTn6yuOiwZZf2xSl8GBqO50hVkw
duawtknD2AoQ/c/1aAcrJUr3lGcWPT1HeCdCQyJ4a/Qyrdy5ppkef8ZRCnc6135iQ6NHlw6sXSPo
JyMj8i81/LaHnh5sb1VXS8PHW9adcVNp+zZA4YLcVTiXtFVfdW3Uz3lUVadwrm+6fu18+5+DqKK9
ahzjpTfM/Bw0hfGEaRdvdKJyZr6l9TpN3ndaGRstFg1WCTK5p9Akg8Ek1EelabpXE4U5X8jm2DmW
v0rrgNVZ44NQ0iCImHo0XpDKUFdIhLen+yWudgvNwbG1a4pIe0u/uHqqMGLvyBEz1//+go2Zkzhr
vrgFWdp+kKlvlaQ71Mja3ukJ4/bFvFd061lmiXXUs7w6VyF9XMNQmNSc4SmeBu0Gpm6/3HPcLqTB
mio8fSQ7uROWXJpbG8dLrN/ZJH7XjkHkJ7/+NlLQ63PlffdIYqdVxlRs7ZWxvDUNjQwpp1c1ILww
/MT+DLrXMiY31+39EUGl0q6WbhfnES4AUiL9rMjz+3dTi72ntX/oZDz0KYnirDiZWiTTcNaAS+Wx
kb4m2ughi8J2EZdpcAeUFdw5K4GGNIZQJM7CpnKAPaexPR1oU6XPeXGsa+WfauJCTpGugaiIOAoV
uWQZzJGbKDMiY1mKqaGEDx0S7wXQdNqZsTRXy2JaFS3mwNw89r0KnnNDQwCTJA8tGLDV4AbqxhDl
CVLZe5ZV1fwN0T9pVxkywQJXm/avZIe1V4oX/k01AA012TlvdRzvyRufMBUb1ZGmcbWZJC6jpORv
G0cGJ97uNdP794RF1Zs5RHh/+3JLeEr1OXcev5NYlhs77eHPqZEZWkEDgW+TgyTCadNQXzhp/djs
nQogl0ndNU/Mxx7q3Y6k3RSnfqrvW98hOrkndLyBBljaUr3hSQbcWMTrYj5NOlUKTK5yeMxG50ev
iK1nCd8/IrEvzjZT+3UYGwmsJLVvunr+5uFrZGG0ydGx/grnGaU2HOBokvGZ2GvhP+Jp9VZ113U/
PhcWtw3iLfWiHHmQAdirm/v3ONp1c2pftTDdkj+bcKkj/NvBmbq2GP92Mcici6OsZ9ujy+Im2nQ3
tSTf9IiwD1EwhLuc3gctfPVd9DSB2rr4hxoNXTXDKy49SQgn002epA9FMbdTcXB8sgJKiwF7cp38
bBdiXLVW5B01PRcH5RsG+x4aPTSXflol5gCaMbY3FdEr706pU2KhXl82Gdd8/HU/OhcLHRz1c0V6
eQ01bGN3bnBPTKvZV17cnUeRROfCiNy9Ieinmi29LLf7LISMaN4W+XnwjL0KGq5hSfThRB7cLDdE
9a1twNuqa5ISwqLjOFlJqysfzBSAHh+B/pPBUoivzYeyXolcbtA3RI8VaLgtHz3fUsAyngqZ6k+c
wDWc3IbOqG2z8LPryyIVL8q43moJhl536oCBBXG4jyu923P9QBbVmvXZkk19rhKu8qIejxEC/D0z
jnBlBDOGrwRSlvHMufaH+sxa+aa5aLKw4b0OdX6VWWsdmZuUm9I2KfOlsXVmmsXVTX3GjUwfhtaR
Zz3Trlj1spuf5Q1XODu+UvkChpbrMQHx+d7Gn3w2khBmSKHBSsKKOHScyjnVsPeaBOi0bN+aaAeW
pLg14DlvmpyMY+PED8tDRWYgpy3MNRyr8VaZ2QtMbO+lAyqHvDR47xZfsnzvBjA6UfVEaCoFYBfs
GkGMalvZ2dYX1Ek849DEghOmmqAM1+U+0pjqFM7epF3xZbl0fFPhfDluK5/SitFeFYX7o0tjbYko
es5Gz1xbDTaaKPlK2y4gvcYtD03UDO8NuqS0HII1CTL5UdNs9Zw5HLC0Pw5+ECkCXpyI0l9hSdQu
5TN7g6JU3cRnlDBEsP807bzctb6GiHTCdAjDQw+C85QkGeGyzHMEaaaAVwg5a5AVk9pdIrHzTHIv
hwnjB3siHdvhHeMJZCH0FDSYvOF9xjg0tIGe8PCTxBBlj6whyk1f1sHWFW59cChgzLWD6LpsEsga
G6c0uk0QNQQwNd7Lssko7Y5mTcRfMbz3BWIomUbpPrFivC0uSY+9pp/CuM2vKuRybJcoYIyhyQ55
E+unLOzNTVGo6otK1QP+vQ/N0Q6sxTumVgwFacvy1W/9/FZ+mSPDXdpGAGpcX+wU7RwEKbmGbKvL
9xD4U37ZMXtpJho1ASuBDiIEVynjFlZ48VzNZq2eFC9akImzTrU2jZBuY73+E2TaeEpa1a990jzO
ppaxUIl0NOS9bR0bRHuAmozrqFhmityTzE20dI/I1uGYZN029Plj69rNNe2CS+QOMUtKgcisoOGs
IWrxPLTZTSWLk07hO1CcaFlnnewsYXbt06MCdh48+WQgB3n0pSwveGuFBwyL6QgaURG+TYNT7t5Y
5Je4W/LyjsBk23lmf4n3YOSjexTL7NWJwdAaen+V5twNLJRxryPbO0q//DDq2LijYzmDapFHC1/q
q1fiPR1kSkNGRttkBC0R+mnyM0BrSfe9b4Yvsh/7F3OCtFOD0JFecyWzTD2yAi7o7wXhZgg1ygtg
VjD7pPLq9TReddVbaLNaWhA6ZMVSeckhE1DnGDzyQ9MENRMMNq7KKI5ZAwhB4nGcrE4PzIGM8zAM
lM8EefNerzsvcdPco9IuvgMTKoQ0EaTU0XNlTTmYgkx8llVEA8dz/li02d0yqJiIOszinWCPQTg9
FY4wrpSp9Cvcb/2KHK859bVGKq3clpSlPr0OYa1s4uQsovC9oSZ8oINHuY/lOzXnh6TGxiSt4iVs
zPbR0vyVU5R06ZmHFnqtf7eaj95Oo2fcGjriNrqmR8f3KBnJwnrTiU7fJaNG+T+jeQ2cmiFu9PLn
vjAo1fsKrEP+CqrAXsHFmFi+QiGkqW3vqOth4g8vyuj858KrrnFWbClaQekXFMlGoPSJw0i3oujB
7E2PrJ1JVec+dHrEmkC9u0rY9+WhOAZUWYquOjiVoGbIVTNP9HDLZTVbN1VPVROZ5WU0nV82Ja21
aLX3Qk4DWQQS964dDQ+GU0W7AAsgnZsWERHd5NTx0f0Pev7Giu+GVUlu6qTFZhfosHEQXh7ovltU
PiL3kpry7iGBaHwzuvbYtZ4a6hk4GrVXryVYSzn2DmtaurM0y7u6bXJG4Fw9uQ4nU6mJjanZUF+D
nKbISHGypKh68I042ONtNDdaLl7NKefkm4oHiTNla2NmR/BivLpJIg9RlDFhMARahrE60BVDjFgn
4VaEU3TN7eDfTRKQ/JCVU1EwTlXfRaG552WjqQYxBL5ASi5BDk1Ip4wg5DNif+PRa0V20BMQ86D6
3ALsVyIRQCTM2gfffgQ7Ebt1A2OAjSxWUiMwVfOku2noqm6IpYt7Pfs0oMStx9HotovxGm6iQai6
laLihFvduC0e6CItD/SiDeBWoElgwZj3pLbyNW6/5tBplA3HHko3vE8An1RSMfCU/qnsCTUzEvnc
up5/pqTtn4MoTjcqneQWYEgxO6HFJdHK6VmlL/Y87kZG4u+7oq9fkIawkFeNudYa9btwkZnYI9yy
qh+ACuSINVwCuw6o1E9BNatgym8VFtF17BYx6Nje+4QTM9Rfra5trmGG9CqTpnbUjOiJCFXvNojW
fRkbzvcEo9jfdXVHrs2ajjQ1ajRwTf0VyG76HFzWoE5opRBxuYtA5ALvBI04JYKVLsr4ZA6Gfa+s
USIvnex1CUnHUo310Pe/+95oHyYVYWUQqIFaSrBX1pKEq8NnYM6ZszoN5AbuzsGx4/A9tYdul/W6
fjST9oETjU6+qXcb0mE7yhWhtzfmQzUWFQlg8Pr6Tqpt2M0N7CS0z8OyGW5Ufcg3orUqVjFyngN6
25Obmfqt6JNmU/flW2H2co3Q2Pp05XQoJst9lFjIEUkRe2G5v+0oQlfcpsNT78kLs4Pg0Cc6cluR
pa+0AyGgzHJy36pPTs3c2ici9AlQO0ptanqZFZ+gpMU1ieVemKKFtKp2T5A7PX6z/J3IiCVPom55
2tsrjovuaFBQOXltBxXLDJ7QTRO7m8X2YbmL2AuME9bch8k3LkNVolnrakgsPueKpelX1MxiS6UU
RNmY61ehd/o1701G9JRLomFF6nloPwvNTJ5MT6ln4kj2WmR+lq6uvyYuuyLSyn9vLY9pnV+vpsLa
exCArymmq2crD66UUaC3jJS4qrFD2GTU63IgL34VCYYMAw0SZtSWFmI0flEYfbb6enhOpOopo2cY
AFwEy21f1HdHmckqzSdrPanOebV9xJqjcJsPvtL/sXcuzW0rW5b+Kx09RwXeCQx6QoBvUhJlUbI1
QUi2jPcr8UgAv74/qG5H3LoV3RUdPe3BcZzjY1MkmEjk3nutbzEYgzH1MfTeXcbxLeVW3yfOQn9R
75+GBfsJYxbK9j4ivdJJJu9zdcmamUChncTFsdDRPOkkthzpxkUv4P0QMyfuSSTF9GDpmM2StFud
A3VxxGRLcJZuRKd8V1i2umQFkBWvH6KP3gFaPDTuzxH62q7u3T9K0Pk1yJ++1iYCrLbQtWdayMB4
FvKqES6+xQwnz9XCSyiq8aPbI0+ofS2+sX8it8+x8YFxdehRMiooIEn++P5Fm2vsN4svTqYq23Ah
FjlUjUgJuueXdGDA0SbWx3cHN0FnaRDpFTbD8GWyRR7b+KkHG3HItWk4ZPRfmaePHkhsxsyWpm1r
Jm3Iqw1ckBgZUbMb5R4lFm6rqGSoO/Yj86ycLGli47ZeL/q9noFMS2zNIXvA8g4Obd8gl4zxSKqj
BGIyefA+8aD5t54GFzR8r9wzDoCP0dVWUDs0lA0LwgNdsNZW5ubbevj/iQv/BXGBcaeNq/x/H9Nx
/Uirr39OVP7H3/gHbsElAdlC9eFaTDw8y1mjMv6BWxDkJsNMMGAxuKZL5DJWxP+V1SH+zebgZBJ2
rHPWM/8Jt2Bb/0adLBxd6Jwu2JfE/1VWx79YoW0PZ/Ia20y4CEEQhvsvju1eZLrWT9pyGOaNs8HI
lUEH7fGhb8zfxkm+Dy9YN3kyb5wjyo1/ulBP/+5b/W/VUKLnr/ruf/x341+8lvxwz3DB8Rj4IXSD
btx/tLMiIaxbV/cXFE3TRl9NbudCPZRM67gd0DW2PO+/DPX/+mP/BTEx2JEzypQfK38ONG/KR3xu
pJMHGJOi7gzZnaPN//mT/otv9z990PVb+Cffbg7uPvJGfiJSpmG5GUjuAE5HoLvDPvsv3Oa2sP7T
j6O/g5hBmKvl3MCF/B9/XFeQkxCPrTwwbIlgYIk9tv3HaQVJ8vRtrzRLkq3FiRxjUNyHs5VnV5/Z
LOlGwHJqM+eZUy20OyNvx8r10TkzCWfSWweLLJ3QYCSD2EofdovQ30hEMEh4NPTdzG41ZPafsfVp
NHLMsZSoDlVMICLq8h4A/8qnaaNtkqnHSGspiDN1tV0gMenSATeaMAkxJNrRbANErh+THrOdjQSY
gZsdLLBCEY9AqGaKs7Hc8iHq0+SEa4TWjHzLfUjPWjrdLQ86KX3XHwhjox9XoMlElzbEL6hF30ZC
j+n+xRhDOuPgyg/OkKw864NzGFlM1XwnRSdQ1dDD3nNOnYusD60KBV/NUNM5Qao/KrP/bdX+gxlR
MPqV9eWUwzVt2nfLHO8K727XddSP6m02QfiJniu7ZAZWTDcKcx7fg9LwZHWoK/CcEE78OaQdMacz
VsNlJIQBg9d9gqsXNI3kkd7yxSBoqlINjK9Gn7NmGOhOSNYp4Nr8t1GZlIT8PUX7d2PiB6EY4SPj
oFjV5cSrLrfaqPeNgs0qBxVtuWz4FueflXZya2qtvl/Q7TeBURYG+AoDoGGdUlnU7wIaW5bmWzHM
X/ky3RPXCp14wo843WeVEmkGdgArOJ05sXxZFoqV5g9iu4+hawskqPAy/IxAtkELmEqVW6Ga92iq
Nppwd2bl2TvLHe9OU37pilZy31NL8jqlNd312Xmc6ye39VGMdLax6XBBNhBfGCkQ5ZE8xw7bFSe/
cKk0/khdb20o/hxJK6aKBbkOWgP0lygLgnesMSw7rprXmKFy9b+dyWc8TnTEqL/tL0145h6IDIoP
+qLoaSNTQerI0r9dzicoO2pWpKCXHDlCUFp0Kc1C/oQ5PHE27f744DuQbIhpO+T5qcz503SSvvQi
RdcNQTEyFzfw6VkbRt0ErccbaW0IjwsFWKCPzNX0zLyihTm0bpsHCePMjeiqm2/IZ3thmRSGcakz
n6gXzV/l6/U3f/LYF8AJTIYcqmX9tDnBF0mB2mXWGeCSUZ5gKGHJ8BdGggHWL9r32HTa6MPzvSde
i4xSKo4h4mLAP9s3mq3z0/vQQJsSNybhSEThrsu3Mn0iHtr6t5GRczp5xS2es2wzxh2BtLb3jFCU
/J6CT4evs6GWyTt6EyuX2s2P67qZ5uoFzP4DhTc98aJ/N1o3DjrKk7puVnekr5EPJ9EHrJXHRHAH
+vKvAmT1Zk70wziUO27fszBFhthwAa9guWh15VNaTXSeh+5Kc/6uVRKL18Dl+155es7Y2gN2RjX1
jsGalZC25T7LItzZUbx11juuFjoLZq+3CS1EnbDzmXu2RXZ1GJ2asOFmm8cI5ZDacHfiedpITf8q
jf4HOqGH3MQlaXOnGusvlmOVQTewx9tS7nxX3UfBNe4c+S6wIYXCH26Mdeht+vPeW8WG3M5zML5G
owTq5mDow2/dBHE72QH7ZwCrEeTzgK+f5USiB/Nek80s7lNYy+m9sF5la9o73WuIuCjdm4OuFiHZ
fkxy6Kv1/ErrgZQpBqy4TRecBWz5398n+pK5g/1GUtd1cJDODkUCRDjiQyEe1l1+SBaDHerYqMjO
GmkwsPlPKqzM6NlruBQgZ+/2Yn7JAjm55fsHqjn84fiSeWP9xG/Clr2hZb3JUe0RUN01k9wtSXwR
pQaW1XVRLD1ozvrNN9W9Hee79Et80BG+OZYzgdPAebPpPpRwrkX6g3BVHCnrYlT2l1nzPge17jGy
fJepc2+r7RiDIvWl9VVn8910WI3sZUd9sm4KKiyN91sJQ9ZnRD06EKTN9T62+UaXicvVafnOHrFd
614JIrktGciIeW9rJRT+7jroXIpy4tsZskuXcFmndXMnERv4K4ot0TP5d/KsAQtMG3Wd+wVynq6y
QFa0+CtBSJpfqdDYO7P0pegfIR+0S/8654dpZP/UfD5a7AHGm7T5iO/wfb0kc7v2JO2RDh13U5kX
cIrH5fsD4pl0Nu2QnL4XvNP0722XQckVDUGDW9RbcUCTZYSH4OwF3T+eyHFQmslWZnzhfjRHW70r
b8LGJdU272hHIcAnBroQe/+tFJt5jA8UGIafkl1ITlXYmxazqeJzMYjmzNZdzYn0eqMMKhlDLgzR
ll5uUpVCDie4XqmcxjLdu7pBdtc3YF6V6G7ZDOoZ1SvseclAKXEupF5zCyVyDgxV3mTFTYE8+cmu
kwcC4K9t5WiMStn01idf0hdXK+tvNhLZrVMnP3hGn/kKozAb65PMTRoD6t5MotzZjkm/MKuroJ/8
v4wA96XkCZCgXg8NzI+dx0egH4qXymm22uI5AXLx+OSlYElBINx9sUqKUn3LLqvtm4Y0mjUJBUly
tJu7s1QvS1xudZE/MpeKw4K+RuhNHsZYgUrFhM2B5xRL7rgtDWSZyH1SNKsdUyeHl+Kh+qdzFrS7
9lOWmQYPQESs/FP3BMvQRD405mi+wXYJkWkxxeVYE2XDWWX9cMZhzyp1diOJRJdFA3ZsYz/HtmC3
kC5+uYKl3NaM0PTJfFfoT7s6D2gkdUENiec4ItOrVew/LvQqkyXR2GPtjynqR2ZWiDRG1YEYLKpq
4+EHC5PK43LS9NshjnsZF0QpJurngNHWp1bnINBd+L4CDO4mGTSdTVuaEP+hP9QwoImws0+dyTsa
iSLL2soKfI18nFgwTYg+7bnIg7zX3jVAhDxogcdk83hIyZOJW6A0eFfAYZnPNEiOksYseHA8FR3B
UxXyCczAIB0QqIalVDMkysU7aEwHzaXFPu9W527JX2ONzWecTAAcyLbADSBR0JlKGcRAEOjSVCT4
TiDpOJZF5MoYJbrBNbJr9NTvRTREXFsSGwfM6pEYq7kfX+hX2KhStJCnQ80i0j1Mfd5ptnimS1tp
26X7w26nzu44rTgBY4vZl2B6hZ/MGOogdaIPiBPQJb7fRNqShTU7B3tmNLxcCNp7N0o6uy3SW0J4
sXsYScLZoK67wEp9E0xrvMs0/U0jsBoWLyxQa9IPS9MXAXQSYEzIIcysR5BIEYqW3X6ZrfTZSkQZ
rul3BJngcJVMe7aWH9GdrTn+NEwE99PkPdiIvqvUOkmevfRzasSBSbMlFnCqxWfk2cB+tNLcNzI0
lunPiDCYMB+jYc5bHNmAORT05Cx5fZpCeW/0Q49XqyoQWyFRRuAiym3d/ElLFkQyJr9tkzHUvIiZ
7hSSJ+J9Qp8TL1lZfYSNLMyd6c+ijwQuMQDjoIVqhVENdwtbbqv5CO4s3vz3imKjSHERcb9E17R2
M6xQSM/lGKTsHshWDAVJ1hyqiuahWR24EtZaSRibxJiLIIuj9DJp0VPh/IkLvuzOrTMIbNXVyZdi
ayOnDbqJYMnaSbezF7WEG6bYX5CJT8hCc5+Jr+272tbH9A3tEz+W7SGjiqqe5Cy4FjsRdzzpjc4K
NZPeHxb3ITbzbUH1xUisFftcObTjab629XHx5PhUpjPbAJ5EJybekUf4LutcTleq/ztJHsRqyj+p
ikaQfoixm9bmLIwMVbMG2L9NzBOdBjPLOAt7q6kofTBD6OYresU2gHvihTL20oCJgUhzLbASg2sV
4VxtEsjUwGA22Ri95MQi7H0DNbAcOLaYIB0YDbIf0S33k5xdsRyxLTvWxU7zz6RSFc+2I7T6MhgK
Is0m235wa+fPQMFKIljh76Vj9luPckvaAoKQ+beyF+yZ9AepPTIQ6Sbfq2t3PtGQ7dF1OiS5OrAT
RANvhTs+i0agVaxRpzhRcozx7m0KlP83iexrxO+3TUT2oMXDX3TNxBM2sAfqObtbepHsNFOpI2fU
B6fCZ1i4XZB6aIQNc2zPHUcLBsl03wgxm0j74EzpEuvVQebtBooNiyXtDkVIpbBz57TbxyLaWXJa
rS/ezz43nFDa2o+0Ec9mMxIDpZUozKzF3SgCO6DjcGomDaGVHYfYuen2+In80UmvlhP9iK4FgK/n
jhk3qpIc1RzS68wObL0G8J2P/F0AgxmONtQlfXXkvz4FEIjQ0Nydgn2IIalvw2TGSDyhk7LffHLD
PqbC/+Fac3/kZFVDEHcjIksTFzyHYAtXzMOsqUQowH3tK5+4z5iKnJZBMhBv5HaornPLI8lON0FP
2I+aN33CPIEQZABnKeIHuObqWKFiiEAi7stm+vSAkrIpcp8ZHenfKqqo3b0uCbm6LHfYK3WWuaGw
Y//Yq5KKzia7pncnqriuvzBm4HbLpDq4gxsuq3LJnBd/rTZZnj4BVFMsd0o42n5U60orbD00HH1v
MTblZ+9UQsUoScqiKMYRv1Bj6KlmnYZpPC4aZ/2k9eYdX1XClJAOxKHydCdgbLQbO/oNVb7Vxpq9
JhNBj17m4Hv5uVbNtS+gevjuvDeh+IoUrAjCLRnqya6ZJj2kdfurMpqtNMb8BJ/hU2jJu8q2efpb
6svJ5lSzaZz2o7axrnVACXLDPrV6dBnMcrt4014DsE+PpLzpS/uVz/PR5hEc+LLCyZHpuOlr1i/9
woPbVb/0GUFwXRnHuW5udap9NCTKE69D8VXSPR5n5kKMyTcux5xN5/rPUHW68NGo0dNbEvSCystN
1SABNkFl7OlU75ZctGGNTJyhzPPgUMlGcEFhieSfGRONjV7ZKpjtZgEhlP+obDqH+TIfomg7Is8O
3cEyLhHDN1npe0RjGtEE+8V18P8Y5QPko+WQzqxP5uMYa6D2ay0j2HTZ2c3whTjieSzBFFTRa4W0
InALyODeis9k3KhthXa2dCLYysSWx9Sp35reMcOiQskaeVuTfhTYGgI+fJHDRPKWc8Ooo8BVvOfq
XiZp3bqUfAGXjA6p1wTBNMZuKKzpaNu8mwKqm+3YF58gTax32VWL6KRkfG2caq2nRkNjZyPS3Nik
vknG3HuUtSIUebkri/auV/RPJvgP0ZQtu7wb7TBuyie3s9mZ6SZtCRheZ8WVHw4c7DeuYhNErrF1
2xE5CEymDqJTMOjuq8shaWcQlowcnvg8LKFnjO/H9EnTvfEwJz3+3Wz46yaEamZ7UdU06Boul9nF
nJEE2TrF4jFELQAoynIMEO+QIbla5IYohN9XgZCoGQx54t6QfbBb67vcaeV2bt9MOhiBm2HBrNje
sszbfyea2wmfoG0eBsHtmMwFpCcEK4BiNUBQ5nOhup+i6pGNzQv4unJ+yIVkYj3hJrZSdz+LfNkl
DqwXY3W8rSEuc8oWloDYyytol1aSb9x8Gq9TP01UbUm7yWkJHuZyVrvZqCeCEAiIhHi9q4vGehsy
cWFgr3aLhoTJtkm6rXMksNniI4RpNHSr2bOItfJYm87Nai3rXHEIitatPtfFSY/qnTZlHfdcxolV
REbQzXR+rTguoafFJFnoUxfOi/WZdPIFNOWjKRIRWhF+Yn+ezwWxeYSKobBrHP+qykUeiZQ+jqb5
WLS1A6/SDO24VXt8eWlQko8ox4SGU3tmw6GwX5/VSAlJtKJMg9dKcAjJcKull6NuBGoqF2im1dK+
QfLcA3nirInaLJywK1NqYf02XRK/hIiefKsOCTDEqqRzIzWgECQT+npa5sdJqTciHsgVNeFoFHNy
wmTKYVlY8tiCo2FfzO7j+uZ9g06x29F1ZbC6V9EIItwkAUratFpb5y2qIcqZUxSAZPvTlNqvAkRS
iDmxOC05T4XC8bdqvYCmI48GwykOlN6ugXIc5zPIATzl+0pkMhjZe40kcgjO9V89p8Mpa3NNK4xZ
W1yNyPXJSJ3sUzGTIOyUN2iVWDB8npgKQFvQ52FGp40rU+2UK7h9SF8x5ryioOysja1rLnmA824e
wXow3KbcGqx0D5GZCV7ZApJh5RSa1lG+/XYjm3YdWhU/pn9bwFaLU9AvMqY0+uVKBHdxSMWNok7K
Y42o5tQrmo/VknGvGMXfynVHkjmyYec4HMujAUl0Z7DmWdzTmY7vHwC8NAUL3pnUiPuytMcxAyU2
TZeqMgjRmcz8yW60zwqXK7m+oak3H77Ux42KZXHgUWSc4ndX+wsoxd9DEIO23uF/SWr0IE4Wlwh+
GSpgeZpSc1/Mc3JlHnyoO9YcH4VT1qBuqVVdNJsCwl8MJ2j9/E81sb/jEgc1fa+JDkJyEwWjo0vw
HrC6yNnjY0Ueo3hnwoE1Ek2ODBVHOe05h/XHBBxODT6MzKy0F1GRm0qQLrwUPUmQkhOFICQxYtKl
E4RHlA2IbKKlItd0fWVSREl7mgHu4ULOzfy3UlOY+3N5A72wdCR00UW5uhp2hgTj9foUTTW/JBlV
bbRuAWUwOABNxNoEXOiN16p9VCRwciQmShOw0V31traJJeMAQqreGmNYz9Yk9UrDfVQaDehePxZr
8tGIRu6PE0VnBtwiKAvQpXPi3No53fWNRQwXYiZnTHZt0xwHu/1oneO8srqSlpK8c6JPNyK2DZk0
hyu4mnK7+LjECRH0oSR6b9Zknd2iAwGIbBphHck4tLGx3pUd9zu6LbT88iOXRCZnPtspvdFhQ/yc
HP8gASMgwCgeXExNTh5zcM+6eVs/T+7FcrEK0KLTtr1TckQUPPN6Ge0at7vETVQHcDtfkKqzw3f4
ytciI9GMUHeSW1wlR6QTcFzqBFxkbr0RaLex2/bDA9/GFw7NKGk+GugN8zC/ZbF3YU5w6ww2O0Vc
ZIqDdkGBO+WkGqimRsvMR5OIu2kMvqGcfFk0+4VomV3ag45i5rjJ0RFt4iZrQlb8R+cuP2yt+mVL
fiPX5NnvBj2csWDSAGu2rtY8F01SBB0Py3xxtO08GT19rJ89ZtoN0aWXkrWAJ7H+jQYDgK9kP5MW
v8yvpWG8t1Avtr1tYtbgeQdvloZnzU4+lFAx24LwUinQL7Av4JQ5yUIEBfWVHtk8Rdqso45R5Sae
kuvoR1uDsrZgPhQS3gKaxn6uXdv/gQ8UDixFoMarVFGLZKXzkI03nLkdxixuJpGE9GYayuPMLRn4
UUTAlg7ET3kQGZssU7d6bA9CTBBFwGum1mNHf2mb2R4cRHd6opAU9M8PFfqiMDXdKzP+ZVVlvi2O
+1N3xzQ0oaIBM64hOFSwUNUY2Ams7TGjctfjgUMnFAYXWNxarUClWou8IqaLYGPn6pGfJVr6KfN5
eugctn3o6IxC4oz3QO2H7Z6kK2Bum8ivfxij5d0cYumC1aAQVu7cHE2zaXcuNL2bQoZQfqnR/0TY
86SZ3OaO3/6aEDbx7VDteC+anPh52Qrr8/FgIazM6LOgEIn0gkzwlFVvgd3ffBe2vYXwCTIC2R8P
hWVYG1HevKLnKyQ8KpzQLnu5S7U/zH4AePtlRF0l24EG6qggx2GG0fk/bUuLyFBjcXa0W1dlkiRj
8TRlVX1RTBxuKLxHS38tlYHnUeruyZnSt2xo45NmFN0un62dVuvJuWZWt9Gle3daZR8KG+8jyU0S
BhHUrCC3GTG1LfnGssyfRzG2D9ARELgUco8AK9sDcsm8RbvmtfWSzNOfTmuZDdH0P3PYk2cH7TAG
LrhQGiOYiGp+mBaeJl3NQxccAunvLjsV1wy6q08DEJWaQ3JrGh8t24kP2lsrw9noaRVIj8xa+leQ
F5bd97Mw1niBzHxGAcDTYHKhKfPI9oA7WxoN4JKm6hZDUgucO9SciiiFRrwA9O64n5OEL9HfpVHH
bHRijKjz5X1v9CgWqk2nIAY5DdkeSfr5vXRR7lHi6wVGvrxdT6AJbT+l/S0Mm4OQ5V/00nvSIXuH
ZT4+pEu8w8neMw6MoAU147s9iQdv1GkorPc59cpfS/K9m9kngSP0ldvm7xAnWy/iZUG6AvJsaisk
zmT/vRrGwn/x1/dYr8etNl/C3qN10dbriYg+YpvVUNwqqLvJTCMUtKTbMO5FuHGY0pqXbHiaJSuk
FMfZbiAOM0gNxzyZmf+BgVw7oXEj/MibD1nOCSATZbLRjWHdiDCLRzb9jmKMblAwLRqLJ1EvNOiK
LdtPj4sRyxHd4SSAt+YvPJWXbmD0LRUlu/Y3G9WMRYVYvIpAR1cI7kGrXDif8CZN6g1zUdoBg/XG
bymfqL04Oera1ptgBRqNsfUTNEyjOBmopZYu8U9Wh4wOVYAVJqKfHr7/DSmfEbJQDQb6U7rzI6SP
g1dhwOUokOo8Ivp4VAcb6RsMIp4hjeUB7JybO77e/GjkBzHdkKbSfOhLQqwT4rawQNZAvtitYwP2
cXRmXlmcjBERJAH3fGYff12jW/GR1N84oNdAtmNM1cPzEWfI9OSATqBhUaaPvV58FTZPmcmVAy0F
L3Qjs/jZZtZe6j7GOftXnSfTbXFmSsn0KaEzs4uX7E+lC8akpsfUxrBCe4jenVETjPstmMPl+6zi
gVZ2walRXKskXJbBRzvfZw++j+egXcDXxWn7Vq0OPo9iSoMc3xEWaWQ/Z9459+QAfUBS2zUx2W85
RSsP7Uvt0FkwcZhsh7ZJ97h6fisG8I5ZcM82sIQcL95VKit+QXJ5wtwWdIvzCMBc54FHXhgom3HL
GAxxbTr/HfrxnPUWHrFMPY3UERsn7X6h+NrT+v8TNelV6ysjLCwI5GZC3GLpM9fAc7mGq0dvca9B
ehp38KNCKqCXuh0HoGDdl89cPtQ6Wp30e5teEP9p0Wqxs5EDMqNVzFipu+uF826uqcM4KxbeFOV+
RescHe2lIW2UGeHYHdsmfygb3CSViWvXybtdjcp1b0TjB6SY6mVCtcvRstjT17rDAAOtkeJV4cQK
Uz4n49Bn/plaGCQ6TLU0xh5EjvfJwfa453SzdsGn8QK1EZw1cGaMJ3eT8qwZ4RpoUfJi2BLo6yoW
9avZBjdnH8nBeWA6fopc8EFKZP4prrwrkQH9uSmNj6KHVT0VBSgtVmNYsHh3EXDsLem+cl9qDD/h
EV+sfP5rMhAJh3FeTia9pb2dVz+rhGGnj4mNzcuedgkuzchVZ7P1AZ7U0d51ek5HprmfMmTyOuA/
5kQ1gQExUl6UfDpqkxTdX7xqJ9aUeWwz/lypH42OJ95FnH3kYOMHklmfJ5b2WdhQmlp3P9T+ExYw
mh8LyeaV5x4qzcp3fTY+5rYip2opvYCO67ZaIpop1ENx66B6LsRjI2KDssOHCvX9S81T/GQZVYK/
syIx6x//auosMIPsVJ3+sO3u2qp7+Pe/yvyQ//X9Z3FMLdbP71dI9RdyOzYFYgUqC2hePcnrG8n3
SD+el83KPt1ZWXTX44ZowOr6AplePhbKIqmriq09lU2JX9z0UaAs/s3nDgishqy0KWkgovq7HPBO
MGXxo59I7ePZXeDAdt0KThQslsr8JBDiK7/NsWYcSR0sEcJGj02nznlCNgqfIT3pDYjMzNkKD1Ym
7i//UTebBgp+vAXDQNJqyvQYHl6OAObLcdjHMMELhG1k5+AVlT/IsykXAmsitbFy9PWaso+V09e7
rGl+4ffr6SSoX1lpBEQ1jlfQriPOEbtEHbDKSn3rGuMS2s0F36GVLvepUbjbRlqn1pDmiOunvZ9y
RcoGzo5ZOuO1rTEjpg38V2BgB5MjE6r3XepbZwT7OSfr/Bm/idxpeX2fTIQZGay0Bd0Xe/O05mQP
b1h6Lm7e/EBJypjW7J9cmcOQcxWak06e6UlV6M1GIE7F6Jw0UAiUVLl9tND9BcSgrBVWzYbQB7mo
/9Ja5JDuFG8+gc1lKnCWRA1fL5FrA53SdlMb2Vkv1zvdRp7nW1P6XFn1w6iE2CR0DsmW7PwTU/xj
qzNdVma96yW+4ErFYVaWjNx1Yi3dmaewjxRMpcrbkSXSPQwLJ6i461EKm+V+WXy5ttH8fcdYje6D
M9xR6WQU3vMuSc3mSAMwfUx05OFF0FORnmpt/porL39DULEh4fyED386Vh3ajzRh2twiAw9mDPpA
1XuMBz6s4rxisaPW2rRF2ZIsnDD6atZso8g1N4PG/Z83zZ8lscSuSbznplF0JmD1btqZ0XS2ypDG
BDaNPYE9KqV7mk1Yo2mn/pqZCoa6RFPN7A7K+t/Mcl4dNf8ekhZZUWpfHOGcmb2FNIZoRhpWu3aW
3pDlJdt4qF5YxM6DTU4JJ+hCYthb7B/uk0d27m2AjZSZEHFLHdCphQoa2HnkhhCGxLEqXQbYmDoK
plsniR511YyLa+Tbau+IgqYZBflB9qV3zmgXHZNO80/jGPnH1sLXoBw+Bsu/PMa+a0G6rztqEN+8
QElb9lNuWtcsavDjWqPzUEdM2LPk2uGcf0APZW6lmelPwiDRB9xWdViY9qBwIQwTMnH8bNCHDB3D
GZ/pwBJroDnas6W8cNQ4zntxOf3obUbrUuvTl9bWwBnJVn8hD3kGSyjKO5IdEjRFzQE4cRlyMigH
xkZBZXOHBW4VyVdFGROUGSQWmHCscCdtXuOIs+mkD9Vr3zJEaia3eDU8chxKxVxYlw3ycNVlr936
ouYsk1d6oStAOo9fo5n5Us8h9U56XrWCYbw7GxMN+a4Rd+RVdWCMtnyKch9bWU2Kg4c8ypMoEr//
M0sW88GJarA26c+hcMkkUMzWIx94QtcCq8sc55i6nXqIYnvELJaqB1U11mVImGOuv9+34PsavxyZ
UwkQa0Z/lpk4GIPrvfa5dyd4cpWRfRbTml2Ur+MFzciJO41/ZQu5v8CFGB/HnQjdyTa4Stm0q2FD
bLsB1Ls38kVgzTZCtG6/mVfOu1RKUPmji9S+ZjYqdWO+mpxLaIzk1hYeyoc2LxddN+qnzM2I6W0e
FEayfUHAzNPCOyaX8lLF2cnP1sADh+2YCTBGWNzNz+VYoYvi/Ue5FOdcQTMwOiaCWDvo3eFhWUWO
mLISSQNc28L2cdEFiPHqgJw6QWzzToh2rLCSw3MfZ+de1uA4wE8jDMqfZJoeBqmy07RqvqKFTX4c
mScD/rzgPyM5egF8JNwtjf2VuEG1BFzpvdJrfD+Z3W3LGcpzlNFwyx/MddeOi0bbuOVApkNVUh/B
BE6jta5lShIo5KBs7mwi1dhdWsmjwU1apn7uflmTzRGCNQgETLo8CVF2qCjdjVV3HNiLUWdVecvF
clz3mnHYpGjyd541D2fDxp1S0QJ+xI6C4Xc8dxIeuR1hBG28lJwGbNAHlp/DG3vUxqlFxLrs1JjS
PBdzzN/tkIKIhVNakTiHgeiEjMi8UJ85h4AkpnLIGCzaOGpco32KochtLJpibNsQKup2PlEKmXH6
usCLeY5pI5Bji7alsvTo2iUKBA28KhJQ/BOSuKCqLZvZf8FWEuOjHloRzhM9AT7kciySfnkSi2HS
qbt6upE/dATrzWqwL0UKOakSwjvZI8icIU0AvenzfozxoriO+chUEKGqZb1pWfM1F/KeIGRmZc2P
bsOwfHIMC78uOy5UewKT2bUORAHQtKzp1Q4S4HLU0RQA/QzUXj0itCATgSpEd8sTz36il92kCvR5
fKsJsyO80yfSeKgk8x1Y3HZE6WGKx94e6rDDhLoZGrM8aQlhFmMyXCbkZUdvJjogg5Nx4WRGBl00
4oZrqALwGsIYrl8o64gIKAkImfzpRI4hUYVy7PYNGXWMY4cdlUlxcoQmt4APrsQi/9J0Qto9Wsb7
eWif5glriiUNABAq/mmalEGJ5a3Nn4MU8sE3IZzbXUGgQwudI8qtdkvqM6pONz4NXsnDs5G3zqIC
HjkQwMNU9FCrxAqXaWIWC0WXk83MYhwvQvQ7NRVw1TsyotbCkSu5kWCx9gluLQFyk3YBCoLR2aNJ
dW+aK82gHZxiO/B5IP+JK9SciYHc6G5znTq61f8nZeex3Di6ddl3+eeIgDeDnoAgCTpJFCmJ0gQh
C+89nr4X8h90FlMhRQ9uRt7KqhQJfPacvdcGjJ4L/g2+dZDgE9cLAS7yMiWZEpWHRZUQMd6ixxZN
4Sp6VHwv2ULO3+iirO8svdmPkda4ahTdaflIlQR/5UIp1XZjhD13ocYnM8jPCVCaOvqDxbz5//ln
f36B8irtvMlClqZVI8XqtNacVDcUt9Jr19cMcYeMjaghvYpWqlemG2UYxV04/8Gf38mQ/8i+0eaK
OOnP5sEkC+DYAaiQF5NPAIytb0OoJzSvj92lR+5+xnG6CR3pLruYL927tZdoFwZPkrASKPwuOVap
j1wX1GPJQFCX/dEcD96rAsyiP9bl2kJLKNhzWWWEeLoKLFt69rtVsY5c0U3W2VJ/5x/c5ied/xQZ
vcR9g0TqR/mIrW16NiJCvReI7LQ7AmEqytcPxj5cTQdBXAnuI8xDDG6cSqZbglCsMy1C8c3YyDeR
slBO8ZtukO7hTIUtrgcH7Gb2UZwBRFjlwShu4T/qR/9RTd26fOuKAwtCTYuRfYRWZraT6iVQR+gn
rb8iNqI9oIxOwYxkFOwcy1yHBTeGZBXtPbgZLC/35VsO6ctNk4NpnAXhna+OOG+lPMREssRAGez+
o9wgLMGOGkCkt4cbgCNFtSi2hPrE5/TEqVvNNqNEPMoaw0ZyxEPSbrLH6FF4QUpAKQnbwzJft9pS
eVTfEhmKoa0Miyn4bA7Kg0XEtZO4bYr22PVpJtrdrtyjbyPuJHrpXlNcgcfAMe/4cuNCfR/W/VMx
bLtLcG4fpRVGQKS2B4Ga9GSPJ3Y1JERrbpzSErkI9FnDLhZVggrDzh7E3EFNIpwjwR6I2OiWXeN4
zc10i0cv2lsZ/RwaPpQr7URb9NGi3k6n3sX+kpNSxRK2pLtFwp7Nuxm32T59lG61c9YvVP3Yyi4M
Vu+gbuUEWzV54CvrJB6Ns4wjjYEDMo5xXTqXdos3YKI2HC2EfbozDxSOuUieow0GPUaAz40D7tQT
DbtulX1Wh/JZOA7bBIX+Ot2Q0rJ7QDi5DA6A58unsF4gqKGa/F5z5H0lTuNGvJE+Bsr9Nkk62Bxu
K/a4F+wQTyzAqbKBdCyF615do8Ro2FRvrE2A+LpeGJsxtUVlEz2Y4qLlJgu4kSIzU9Vpz3C2briH
oyUYF9AVgsdk1lU7vJGaFkvl1HvYxFv/NDwI6+hGW4cb46HK7rRwo/uO5ztP0lG+8zacTWPQBk8N
eJHPapcuWAYJrJ9rqysftB5K0OfayS/VzqMM+NSuVEe4xytJYFJjE6xJBAev92Z4TbbVwbgr1q9A
iuu9si6WqHKx0jpgJl4whJyMIxqX/KLaObVof6nGq9Bfks/SfEVfGGYRT9SA3JbKjajcEei0o+jT
v7CUKW/0+WZBPQrwNdXvBFnejcKDQanpZifrTYsX5Uv+ICxomRRr9dzsCDQoe1d6q1/EeEmjFUTk
odyI7QIVqLUYFual3JgnKVj075A3nGrd3qan2dGDFHeyRTc+Jb0rnKkVRQ2vlHKQeFZX8nt9iV7B
fpRLY60dJ9A3T0XimCfuidOXlBCZ6KZ78aQcrWMQbSiDeZuJAvINT4jLerSFLFe/CarTrDluZEva
RPo22Oa3+qVfGS/evtr568wtvmrgmYvorZw7TbZFTBrdE/5yuKIEN9ke/uEXb9ca98kxoda1Il0+
eaBufxGx4N5GqkOcdozTxiXcBDEy0rr+yxcPRM9ELVuibXyg4xxHDDA3PdIaULGsQGc8CyV7DYNG
Rg5mFxbSPMjPtkoyDfyLNVjTx+BVMPAaLep3bqzEBowgaWyasVBVl7Ur3QWoj9cRuJlduw8rXjaD
KZOIvFwos/bBNm+LI6wCM3dg8GfhDp+6oS0QQCOv05ewNx9UmM7jQqzuEUQO051wkuk73kcP6LkF
SsE2AS21ugTD4WK8U116ps2CVffdvzEPReR0jrhs9sJpuLP2061AE5UTwwEkgHbwPntzEe2FFbdE
fBjKmR1R4ux20c7GnfHsn9gSngnX/BD2tcv8i7jUUzCAHlcvArd6rAj9skOUogvx1lpiZlgEz/oX
6J8jibQCJc9niUI/seMMVXqkrnRD5lO4ppFrbWvIc+0CAbCoOGDvzBNc0upL9JfCNnoReaX30ka6
LdvXaJ8+eQxtzuDolXsbXg7OG04tDv8nb24TlrLRg3rc22K/Vjd16fibFGDel9U8CgSdOBrYwUY9
DHyW2TbiEAHFzFJR1zo4rjc1KF1A/JVN0Ia4AcxT26isRwdnNT5jgKjHIAPkb8OGc5p+EZBhZRtH
ZbTlVfNoHSRxDRqlASRml+thD92DaSLdCpd4CXyAtupd+OkfotwxP8Ruo7Om3o2SjXahBQq0RifM
IUh9B4qzo8dJXGZYPnQNAV7QZhfDDplvsMxvsmfrwhld2pcC1JQFbUDhlTo/clzvQ7uJe1u+i1Wy
hif0LHbzZono9BAYHyqPZcERjvrJ7476sJ12iQO4feFjAFqXB9/u3rIn+TxesMKbb5R+gq25y25S
dQmu6LEYl/U7Uw6+TrNT3oR7nu5Kglrj8MCM/pYHMZWLkKy2cxy4lnWMeizKGzhyWkNZk7fEnLaV
JzHc6uZy2GjxXrI7V1pPiDQujUtiIinQgEn0D0AF8eDUC13ceaJjHLqvRnTx6ssytaB19lgjGFx0
D8LzxJPulgBj01tzF2JOH6CV3Ce7JNt5rsXd3y73gau+qRAcbxEm5sAux1X97m0UYi7DVXsfaa7Q
r+oHAQdGajceBho75eHtMCiOS0zvwBT6W63d68EaN4a8N74AMdahrUFeOdCT144zBEA4jZw3wP49
VscemfxbhuZyCRBpuBNWPpIalLUGymSyeJZMzGxdrE03bdxqumWE1XdpsZEyJxAXNKyQP7S7pHFM
rEjZVr7n3zcEO8Nt0C3H+6HbGSRjoa0kbQ7PJMyeYKVkK1PbcmcP9SMnhSh/0NVD0zi1eeYiKbQH
DmzFZ3XfWKcmcj2OoS9RupGOLFDIn+TwgaJgdl/fhrcZnsptXy79U/sUl2sQ88wY2jW27xgbk4NL
8S4aJBsu/EftdlDwqay4FaMM0F0/vynjLcU5jnOokMIb/9V8kQ8sEslndOxeDGp3brdUXvI9+Vjb
dtc8q/cFUCI6wmhKTwrUKThAeKCCyYXeWSxLw7VemnQNbblLd1jVx+wWsj8WwGBherf+dMo/ipci
wLlhc/UjNsHXPn1tid0j+8LblaqfeMvGC95FbFiJbqOSQzg4C74Lu1kZt5Vsi1vKpAAyw3ZXn+h2
ek+kKE+H6Svf66f8EpEh5Jpnn+PXNnvEg7pQmgWI2+RQaE7By8I6AjaSycpbYrAdoV1VKFAWyQPn
uCZ7Jb4jpzR6GKjrAeuC4LzAPMD2RXAlpjDbvKfj5hVPWncU7tITTplBtTmO072OkIq+IfacPtnY
SowRO5+jBKDCnfiEbuVUc+vYCgrgTdu7Md0awfScDbbQjtoBHX30OK5g+KtvDHyBxPEt51YMPw4F
8+wlBEPz2e5ruExLDCMz8BJB/mPGUr31XM4tTnqMdwpBlKt8m6zMTXgw9wVeMJNT8AKixy0nBx8g
lZ3sunxbYIFR10SuFCd92hYRoGmbqAH4iZV19rDGMNq0rXZjpPawo65OnUJ157QF0CLMCHlRnGj/
+i8SCxYnqsjBWJLtYnOdPHqSA5DxWXgphhcxP3aJU16oOvvCxltxggrXSBQQUnM8G6rzoJZr874t
lp7Psb7JaLsteHLWBy+DXTXmGM+FZiPbwiE9Dw+AmLoXi6yILWROquwfo2YDUxJcupPEy013FS2/
VfkkurxG795DUtSz3+0CDn4y/KqVKbvBAxM0Rzm+Urfp0SepfQXqyNwCttjnr51p+7vk7N/ACcst
zkotgp1PCgH36hv9GS6iHFjNJTYZa49imUBXxOLb8C6752NLd+KLeFTOFDP4sbijuCM84/XpUCQj
Z99BSH7zhV3yQu2Oi0LyWXs7BCRzl/3sf7Aap8IWRVVzYz5h2H2Lvio3oqW3KZbqu7c3MWt63Pk4
I9v5wbrHy0hdr9j32xTQuVMvg480oofFfchtbFQyl2pL5EFlM17aC6UC9uv2QukDImaFscUB7Xqr
3gvP6Up8F8cVGNKaqXoXsx4i/OSRN68R9aX36otdqy+dZlrktdNvgs5Rlt67t6uf/GoXIebdyHvB
MbYpNreApBu7NTdQVp8Bl2QDM5SH/YWEXoBbvsUHYqCVcLxhpa2tY3VsHhBzPpmjA/SGqi8znWsZ
mb374JVTdfTF6gc6Wwd89DZS4PPtzw6kK7uCukSfzS7fPLXHQNknH9qF0Xkfvnrr1J0xXqFj7Ywb
CX/hB70FRBdkGQUUMJeGghTeVl+EveiWGOWX1miHDqu/vqN14gQHhtUAA3QDrB4L/J10mhebWSTG
Hc7YSHfFfImFPEdcI269m/FBulxKiba8Q9mHpi2eczbG8gXqirwYVipwdZzFi+Ao74JP7K/mPSmt
4Vd07t7ZBISTtMqeszPp6Dn7xNFbDxvjxBrFpDA+6Lrtlf1Idr1tPBMlT+rqdOIvG54b32lh8ZJk
qHBKWwQbTsTeJ8pxrutob6NPlSsGJyMV5aQdEHyzEO9Z5X17wG5xiPDAnEk5eEWObu3n+qZA12fp
3fungPlke0/JJ2O4u3CEHrfoMcVjeMtyJLPkYDmzaXfVT/WT9lw/sTwG9+IOI8EdsXtP3F3VQ7aX
VsZuEx/BolwqZluJoDRfsXiyWGrPnK0fupfepRvzVDwgUIOIi45023GUXo0kkTkzpXhPXIJcOvVK
pOVHs+/R2jKa3qpjKVCWWcSIwkDBnM3LOOwsp7shCmV4isBHp2tNXOcqd0sbVb9rkNwGGYaiyJIV
sOyxMdri8zyBhpuy3xVf3gos+QRClhNAuxKBa635F/O1tgPAeMsqiObQ2o582Gpd3QMrW/MExL2y
JIgyecBjHNhwHSlJDBpeoE3IRklz62Y+PuMlfMs4loHKXYofpbmO6yUL+JPAQj4LF+zCJSfqtb5g
p5C5eEpH4QGEDZB1uDFdq64NRNC9lZATMgfY/PldPOgdDtSCWKaJBFSjYkoj3sfQ9OLHHi9PifuJ
QgNpLDu8soEY78I//zxGhJXGTclQseJdDYRtGVXs43iePAcWGGXrKbkIiVKvjEbje+u1IG9FLeO3
vhlvcRzS8Ytwl4ScvVApoxDt27tYjMp1kvF5gqLD6jwyGfr5lwjZzaKls4HHe1KQwdV7VRo4LsHH
+t9fBhMyq1roa0IDCO4iwUFtZvJVUiXl1vq0PvOaOFRLaM3WRs5FERZ9wjItBG4qf37Rp4fEEOAg
GypFTATGxZKwP44PgfmEyLJyg4KDObpHLIgUnlW8pyg5KNGO04eoRWchvvOpWEBhNhENSFifq5te
lT/kGBxVFnGZ082jx/fdQprV0DKRQV1y5/IE7t8W7u7SHz+Vwjt4jSdzhPVbzGMXIHE1U0XEf8yL
aFXZRa+c2iBa2R6Ho1G38XrCakFlhsaZVzyqNXxr1Kvz70NzKFGL1B9CFJ2tpDhVQ33fCBOZNvC/
8iF57fWCEur4NBYk3zSq6FJZX0mjcQfF2y0E+Ubh4ml1UNwl9WR4XI4MWbNjfeTGUimunHhHj+bO
sm/Mx6KdtFVM+giN2Omhn+RbXgcHmFz1qBMVH6bQkbvQtU4lDu+mrAlkMAc4+gisVap9nQ31psVl
xTqTJJvK4OhqDG4vjsFNJWA6wYwxrr2yXUPwCxeEl9HFrI2DmVjDrss4ZFodxcAypRwkTOrasuT3
kaIxsaTEJYWIM+C2efhHn6ZW+1J7hI+Cx6wDhLzSEo4LrdhuMbDfRGXAbVgyF//z/xA/35FrQAAB
PR/9PNt8/J//0VTTRLxkaLql4s7kh14BXfQhkbNOMCu3V+FD5BaYgo79Aqj5pk5nTmS5rtRoWygy
m3E1Pvz84//lu8w/3ZIU0dTpEKlXfBdj0IZGy43KFeP+yxtUR6x9SgdE7RHlg0DJq3SqXSJe6Z9/
rqR887UlGSoncQGIJOT5g/3FsRFrvRjkQarotKQeCRG3faWvQ6O/G3W88JOImj6tDtjwDjppTDbt
ZG62ubJRrX77y0eZv+P1G5BkQ1bgG1p8oqs3IAHwHZGHVq4HXMyJSgEshPAZ5CaqyNvg1i/oT85A
GIbvQPesmwn/08LiJNz54y/Dwfjms8gSWlTFVDXZuv4sWuhJspCH9MrLDENVxAY/YwWSsXgN8KJ5
gqn+8iaU7wagjMXDwGIi6mBg//sm4HUTFlMIlatnlPuMPn0wSBpkfXPKdmoQb/L4Dal5KQoPYEy2
rnGilgNHe+QAuEySrZJ4ERLjyBax0pIHx1lf1fiPCKrFdovjqqoeSe1bFSPK1Cbl9RYtLXDCoDHE
vSIOW4Zmc/z5pX73TmVFMbDImjP16mpcj75asCv5tWumbIQ6eBhbL/tfJs+fQXo9chSZuaOJ8LcM
Q/7voyPYoxkbS67crtLOsGmOXWrseoPid8OMKSjBGn12JFsAHIPFb3pzM0TaAf/HgH09OeoBIyqp
i7t+76nmnne/Lkz102pmZknxkpTVYRoBaBR6uRZr705sg6+8SqvVzw9L/oeexRqkyLomEwomWZI6
D5G/JiP5NIPkywrXAYujKUR3aAU6GidaLWPKO52qMHWJ9iPNnAz5uaxsrrIqefSlHoFjDGFEHz59
S/404+qhnpkL5IsAw+j9Oy81q1/myLdrh6LSuJuZY7L+58//+rhKbek5ZH6gVBUEJAmqDYarxTRj
p6S0e4hpqc+e/pdB20UKtUsyqwCLUPU1xea3z/Ld7FFYuEUVRT3C0Ksh4CMskYDyV26s0T0xynh0
ZtrIGFATKslG9zXmU9PRYvdpY/RB+vHzu/t2+iqWJqsinDedgXj17vCb/O8YHBAUOZUkU2TuQkSi
44PZRpEtK7ldzzMPX1YMEGR+OZ18ikzqSjNOZsAmh419+PRmIMqE2H/RRNJnY8QUXP1DkRSwexJu
2VaDvX88d4H3Bidih42SgmnUbWfKUjNjqH7+YtL3T9bUDXZjWTX/WZfQoDKARKL+8p3WUmLXFVyB
qNZWA6iZJkJLPEnWJqFwHkF++fmnf7cvMsJm4hk53LJytSeQraa2asqeMM6cHoHSRI/BjUkbrSXf
eIi0Odq+b375zt+tWqoIMUmF7wPJ7gonFw9t1o1JX7nTwLtEcPMCtPvl52/228+4+mah1sj4RBmw
iPwOk16tVTP9ZfH9dkwyGSTFYl7Q5L4ekwBP+0pumBSltFJ6WgAjq4g1MMC0PDuSf0nhSw2XWtke
8MscMTXRjEc/nCT7xCt3YdUdOhF/qClLM2WWLpVBxSAYg5cQonJTowDuFEZyK4wPQcHePM7AKN+4
L0LvbQaOmR4qjZ8fnDRP5f+u9oooAr8kYEW0kOxf7SmqVrSKACzI9RGn2w3buK0m6VJGBLWIUqaZ
UScPuLtpOYC78YWSrknB0bewMufnj2J990kMIrksWZMl43rRKXVDNMdCKd0y+xJ8mu2BTP3aaCT6
uONxqBrIoQArAmX388/993SCatJEWGfohOSYf57QXwuv5UvNVMVJ6U5T4Bgyc7LmYS/yosOPxqJb
eb+dh+YRf/XM+X5kJGGc1xT1+nRs1WTnjqOJO0w14UegzOYoeymq6PHnb/btz1FlUeIFs5qr8zf/
65vp3OEUqwI1bFK7IcJmLfSYGQjP/PnHmP8eexXJ+OvnXB22BCXRPYQjuQuSohEs1UHzzS1ft4UB
WYBELl8UgRmHYlxHA+t28axGG6OEMG3OtYau7Vag+NFcKelSQY8lKeQNRZyE7ClI+cQEFvBnkA96
FGylCuCm9akZqdaA/b4QszX8UIFQHRFFL3Sf1gLFb3n+yU/xgcke1/xIIZ+89ldTt8rTAAK4SodO
6gxiUH0VAXxOVk8+veMzFzY9F0o8k+QHa/Tyi/a9M0XkBXHgcyHGLwZQ5LU3HK6ntNr8oUGvZj5L
BkoJsI8F5qaetJ0NMiTpjI9xa/rBc5/qkONb6DraoB5JAPoSYeI5sUcH29BMapiTZKwqTbuIKzma
7rg0l2sQ/NycaIB3OnYboqUQyg3BYzhNRFvc/vwKpW82Jg6UhsZiIKIM065PS0kyCQrXtNyNUoAA
ctCfSBc4Kr18MivrjWpEZ4tjfMTO82Sl0V1tBSqQph6r/z4Pte2YqSfM6xdNKpdSUDxMQvIi6cRA
ykpTEZUgr6cxoLBT6k4o+o9Vp2e8XK9dYEpcD574UdX4q434iK2NLpUaPOYdrVMBIKhivSV9f9Ia
62Zq2pMcU3LtvJUaZTREUuumKoMlIPJFA70dQE64UIbWCXq8nNExldU9XpKj3HQnLHN+9RGN2UZR
pI/Rl9YezHF4MIRLVfJrm0nrYqD1GPLY59wvNQwTSk3LspoQV+BZWMyfU1b72KmN9hTo0sef/67T
93VOKp6H3KKDUCEj52sSizx1z9VoC7YkA9RR53pkwauSelHkbIPPYpuE2WGa0wI19daPYUME1YMw
5QfcLjB3guAh6OPnKiimfRPA5PF84b7JapKkjA9L06nmm9VTjh3xLu6Ifc6yO6xx+T13UMYUwULr
X0bINxuFbEFLpfikoco0rhYTL4VaSgYd6mgwZLlfkQ0BuXShW9Qh00ojUdH6ICpDR5JRIWcRee1x
PdAE9ZTe/eWzzNv51QKqyIYKbsKC5WFdX1GosnRdX6S5Cw4Eefo2FoRwNqqlhOMZi1aXui3Ce3Eh
FP3rYDTvUi6e6gplTRCY6jLvCrqJpuBv+mb4ZROT/r11KNzQRELBJBMq5vXaXvljJwSEarg+lgHq
XYWJVJbGC+Jyf+cN1bOXTtAJDTlxawPOViD0m7YVvV82tRmOfP2I4Nuyn5mmxv+u74rNGJu9N7bg
Zc0HiADpGv8fZO0/3BBMHfYQDeMuSxAnKvmmmmkazew5V0mcrsIkwtGov2vpjogpRHfBcAfvbzrk
noD8CWOJrMYL2UI561WNM+nCHaG6fJewkSHOwdZS82nltTo5uVTMf3n5/x6hFe5HCkgGjdqGLF+d
w+q4KZIYTxWE1vamkS1a7xX5SJndJdW57LMzmZlIf5QJWEz++vMP//cErc67qWSAhDYsTbs6Z8Zd
gbtJirCjmLSb8Cs5wzieqdatQr3c93J6PwmIh37+od+MKU7t4K4Ng4ORIupX37io87z1uzZx8xjJ
J1rCORFq0lugH9EtRPO9kuGRG17TyDiiov74+cf/OQL+d7aposLXliVV0nXt+mDmh0mRqUmZuJPW
qPQWO0YH6bojBilKq7dRoh87zAG0tzV60gJoi57qRNmp9iCaT1WrnNv5j80wvh1rvPzFYFIxyV/H
8V5pD2D8tiQqMUOq397Wv8sEH5xLB4d2TePjz0vaX+efUqNurbcpHxzTfaDgBp7MjwgTPgjKX24H
3w0MhaKfzmPiJKRd/agAqbBnNlbsxjFcAwOHh2+sU609GOi8sYxxo2ysp59fzL8HZr4exHQFyPm8
2Fwfu9QCsKZgxiiB+Out4jUfpTNIBkcspIc/jzz2yC+RjV/G47/HSlXkSq6I82GdH3w1CbSaIkbj
GbErtO12TDpXVePbUBf3P3896btnqomUuxQCZHmsV1cTjl1DGPJ3u36mHfWOO3zORKPgxlaZP5eC
so9VeRWJ2sqELaDWrLKVgtOqHTchokAgVRocuMl4ErzfRtY3xyWegSRyfjdlUedG+N+hNQjykEUR
tt8KH9AUBidFG1gDvH0TNru2e5a8CJFPBCNK+m2oafNOez0f56WPgGcNOf71csAG0lhQjmLX0oBL
qBj9qIDAWhANEkiGvCcUrRqInaWMNZNIMoI2+QaoilP/NsAEb/edNy2ADx7+AG9NCSOgyaRWJLzH
QxpDrGEnIF2LaU/BTJIrQncQIxIXkq28mhBeFRP5MBNk/kDHmkLFQI+bBJ9YMjvazn9YBkJpLrUe
eNGffx0gngU7CegTJnJKreDg+v6lIf+26kAyTLk4m+L9VWCSfgb7GCRH+EZdD+XbANxPyDsXEJe1
kKXyFcDzqpivAb8MuHmS/vNgTWsuzUimpV4PuCmC4RqoLHSE57x4EXq5QCOEZ0us9jPm8nzhae02
zyCRYJr6wJ2zVIr67ucP8e3kInKA9oUlw/+/WkhSteTwQHyyi6cTSRVfW4yls2k0v1zavqk3MoIt
nXsvizp5jVcjGLebkhVllri9QtMJbaLZguxgna7LbssR6gzzAD0476ZRtGPQyvvK6+asxd8+yL8n
lblCL9EmMil+8vT/O5WmSMRGDJrVlWq4Fy2/OEO1rv3XOB0v2mzlrOvkrSq1m9kIn5pv//8PnKeg
sqGrpiheV+SYBnoXB6xmY+x9zM+7Ql+WVt4vi7X87yWZIhgrI30Gyvfy9awd6jiTppwVQ49pMVhw
/u2kSFBnGSRxSlAeWLMipXFDkiXtvmGUAyS3OzQmcgVFPMbwwM3BnSyOvHP7LlStpxRmjuwRNjAg
D6wlBE6/L8PfrTbEUKjc8K1vyjKmXpkg/LoYZWe7FfpmKxTFK49ykcnyfhR/XfW/fU6yAusO7IX5
T+cm4SEZOtUvdxxuBakFiRwXry1lU5CQJsqaJHxrkzcV8EsvgKvqOZHq5TbMEMD8PDCMeQZcLwe8
KJq8qqQQTnK1z1mtDODJL2MXkzEuHUD/JuAHCJQl1MoQ7RcmqbypiQbXjxwJjpZZr0Xz2TDVc4q2
Jv8k4hV5R9q5NceliA0S1HRAlAO/dJaEsn3QDprlHcZGPpsDxYyCwSAqxavaxI+W0pzSIn+1BnFf
AKon4RAvU0Vot7YsfYLQsFG+UqqmBGmdJ6m8V6A1FVY4g4c/w5xme2CmyjKX9T0e4/tOAQFTGNUu
aBXwFuKKDr/jGQbAU/0pC7nmMuxFFKeDCNZS3gcMB5t4Slg7L39+b+gpWbY85aKkohLkb5H4266q
fvvuDSqsrH94+66P9pVXzyWFlJ2trLYZsCUz7rY9TU5nnhBV36MPCkZXk9qKC8ybzpOOLOkcVdlr
5FfvbVBvJlE9CyGnzKZnwS6r8gSL425SCW2XqH7FVfAevUkWyJE2QJSgj3c4vNwcFlk8c6aMREcZ
LegfHYPLLDRSGhV0j/NarBj8kQgBH7wUueNJh5Mg9++bmn6WIfyyDXx3wJBElWskBm9rvsb9d1VM
jHaIQgAirtBItjRk9/7gbcVoKfnlAymtr2KBVsdLjlY+/nLHkb/ZgiQWw/nQTLNWuT7vyxKzWsW+
7U6e9AGu7QLs/9GQgmVpZSdCUFtJcRV3/NRnY5mGcCe4ELS0zz3l1SScPCsB6pkFXb9irlSt6wEB
hexlK+o9WKqs5hRUyebnufrd6kpNS9I573Me++fa3UFbHSo/z90+QtFmZJuypb6T9qcqzjZTEW/F
3lgpAQ4tVJpjxodDR2L3YntKGtQRRoB1JrhNjOk9GtRLaoofEyy4yHyQ0vE1rsVf7lTfvl5Joi1J
L4Y73fXuqwpWFFZmnRPcSA1K7ytEQ49+U+xEMTz6HLayZFiOkb8e50Dnnx/WdwdrfvZceZYlzWKt
/u/YYsnrm1otGVuEpyxkRrM0qHtmzVrLHU2ITjjrt8EkfhSJ+EGdegWxbZ313o0mtyes+XZM2Knd
Ap9WxOzwy4f75jjAh+M6o3AG4+Z2teqmJJoDnOdNTk1+ATe2GiftEmksl35gkMau7cWM2pKvaTe6
b23VwX/85RN8c6/izYiWYupcsMzrY2BhqGGTZlSXyrE7ze+n1y1iDYGYNxfV6k6iGD/mqb4fYvMm
xE+GziOPlEtUTx+NQaxapl4yIPtEwRNhKP0yO7/ZjiUFVY2lqOxJ/3TnO/iW2UQdGiV0y706/9S0
8pzUDKDQL49mm/3WDP7mFsaCLMqyJsky172rwcLIIFeznjKX6sCq8lHDwzOxIa86hR6comDkHw6/
TOf5HV/tvPTrRU0hlFdVZWteof66uBdTP1SiR/EKx/LThI5xwBtuNAf0R78Vvo3v3vbfP+tqvFlC
FEeqOhfKLPhYdehhMJUgdXHDkcLXcsgBsJnIGlVlHYjlzVTkBiYcc2eOFpNWd7Csn2eib6oaK59+
XlWMGzFXnwDVp3TySScBt5RM60JqQzA84qYWijOW2ACEvtJQrIUisTN2RVud/5CPkWimtB9h8xWf
aia5o8K5UOvArkTTpg6kTZkZc4Lr7Rh++LKxtOoMJZ2xNfFgU3KRh9xt8nEtltauqLobKwX6IowE
FdY3Ql+eYwA+rYDVFANo0h3SbtwoLS61sv2Koubc1XxKP7sZMggmqTedtIROiWwRaZRj0l6EBgib
ZJjs4s3cBDHXs1y1YL544oUom+e41t0KZJkwKuMCkLY1EENNSI4CkWZV4kf7Q7i0+CorFZUkbjx1
q6MJMiK/XKUDSmkxfS2QZlFZrMnBanaTPyawUDP2Eb0kySdnBIIXWKvKJANF8sMtMxgnKK2WdeT3
CDebHjYdoKh+jAiIaOP7NuWQqFgqYJBETPgrZuo+skRYCdpNMBjBGrIQknEq2DYhDBevRGcdWco6
IxbIFIojGD08Ooz6ycyOoM4dpeA8ZojDps7YCjWocTF+4Y7sICv+tLAHGWF9Nj1zp5nVZxfmR7/K
jkTHoqXw0DypWNrzd3Jdn+QE32IW54/RsIFlaBs6uFsaB0+Eoy+8ApM3kGIrcAONvyv2DiKhVi3g
ACXQVo2wmYfEoJdHazR2pj5iIuVDzusAkPQ1+ta1EsM99IJ9H7aX3PAHJ2vH9c/L5bfzRzIMicVB
QbZydWHVy7psRp0FSa49p9L/L3tn1hu3kmXrv1I47zzNeWh0FXBzVqaUSk2W7RdC1sCZDJLB8dff
j5T7yFap7Gr0awN2gjOVSTIYsffa36JFDrvTIHC8QCVkDva6Gb0DX/E37eBHnRTiH4xeEVOgVXp3
WiscYKgEA1VkpH801TvmSUY8P/9NS/RR7JXMMLlGMrakEb135zERBwGv9/JdN3i7pmuoiYIEn1Gt
SzSlQE4HdDO88ir9IsIWp9R+31P4qMXnperY/MZEYd8PHD2RlZnoLDIK1HCkJYrTBv17p9jnLD4i
FGDQ5y78YLym8V+HEYpXkIjnagUg2SX42GDII2V1SnQstVz74Gc6GSwLWLKPEU0HOXORaTmPYO3v
gjR/KgJ53YTBHq74wRswOgZ/C/22okIhJ5ofYBQSUECcdc1qKOxbowEDl9BcNsOUI0yVpV5BKw2H
qdJJHR6MfNzlI4Y7obPUPOeYhSpC/ie9ThDmtBTg4+u1cIzouhRXlVugYTcpGlDl+DBdzQIyGPVf
fbJyY/sTQ6kks4E2DOCz4qsK3hLkXnoiX32lQ7gwZexC2g0Djt5KCyICNS0u93RS8SqIwSkQhaoz
R670uA2IMoBx1EAIp360xfIDFwIE6jIVzxRSASZVYXP3LVh+hBFdYGJpIM1b0XflZkDz7wgZgHfw
qNDW4FCQe3Rae1+rFFGmVbBoemps2/jTmAjoG9kkEqfmM/I5wYQV/PUz+NH70jYYonvo3bhVp2f0
h/clHsAYkSdtDv2QHJN+l9npYejUbaJhV/O/OtX7IVor4A0XIB93oQNJMYcvnBNjB5O47KTym6/1
YS/ZZlyFLgU5GsO5n7+XWuqiKM2K75Xs6hA3vSBfhz2W7vTbY234ogXYi1HJDm74N1/zo14PURpC
UnS1GIe96/XYFbKCPKV56Un7QkDPMkpepDw6oXfQBNeX+V//sB+f0SKSPxmb/lO0ATg16hY4hrsq
rigAq26hyjxo/nBfpNWz5B0C1Wn961POTcf7ftakjyXWiVrZeS/+GWsB1R8HhV3cp+HSxOSwReNI
saWH0aiK2bK0b2rYTHjBdemN696WCRTHaqCPUHVTqq+gxlxeKbyoaopdqTPNJD3SaNx6A9IGSymg
TuA84mTWIUH0RqDLpyhuPLOFYy/HatwGvpBLx+V566hKw2uA2PahhaO74lk5RBF8KZK39VLzb6qU
wjgJEy7zjF2R6Xe9V55yJR8WPpFYBM2rUIbQhD0lWen4JxCb7ag6nqrPyxpoEgJATMKKJaPPfAnH
/0vsQp2wgOP9+lf98K7lnjVIBZGaRoP6813b9T5eaaGX7bpSPKfDJw/aSOKPZ+Drjrq5ls0qpt5x
/F0g86MbCB4QgUwCuuY/jQzqVhlCodvZDkL1czxy+byxfhhS+ZBNGoy+Eldwf25//WU/evuTeULx
rk4fc+/6h5ZH9aoEQTLkw4RXSAGuZumh05pe/VVh7WNXu0yL8nbqn/z6vB+1eD+c9/34OR7NtC0s
NaOwud+6KfdY7NbHTtfuq6I9/vpc3kdDUkKgiMQYltIqvAuVy87F0ANTpp2Rx9d933arCNl6QDRW
r1KJjYt4sTBzI/s0bgc1pJbdhZlB3FDjQvt+7SysemcET2kB/ci2+8s4MK5gVfaZD+DUSBH5KdpT
YFOLVZvA8nzrS4xGcq3ryPLwNTdrGINhDDjHGu9kA9JkTG5oG2H3Qp7ahPkZfVrKoqk2qanWxrnt
fi4usd1YxfaJsjvvmBRUI5UK4w0N/PWCkRcB44K+vpLfYrNRUxJC3NnXtkFr4XEna9z0MIZESrXO
re5LO5odJnAMezSJA7ePt6wdQHLugF/iacIrWMKYSJaBDkM4MforMw33U7+5rIx7lx5xX3NvYKmw
DsL+3gxGbLDkbVw0R+wexNpJlEOfWOsO/GykhC/KWA1rK5R7PGbl0apC3KIofsWh9zevmI8eGm8y
oCbxwNP6XtSZpqJGdymIqwtGV4Vx34KjkKp5bwnrQML3XmJR9puWXv/o5vXQZFAN4ZAqfn8/Mb4M
8C2kgbBT56gDvEd26+srrV6WkHCjyR1Km1JwdeTtbD/G0jDzj30Ux7sgzm6qhrSm0En7Zrh26PFL
7ovP6O0xt2rHCS2RHGDxwktoAKqDzVqnLSXAmgUN4tfPxQeVAiY1Fug8dJobYpXvnotAGVI0lSnM
Iz/boJ+iwl0l4t1X2tHM+Fb4b4lFRFGfMsBfT5QQsz3PQ5g9FETIAwoRFU9u24ZWWOY3uOqh36LU
aYtrAZW48Nux9Eg/tcYG23jg8QLipVQwoEjVyRpaxfc1asPdr7/UHF96906kt29pU2fKJfwz3TE/
tGiePbiZ1I101+vxuiSoDkrNvZUFVhaV3m80zxerIgMdnunabQhfgTF8TnlvgDeIzJNtlDAMgFrp
hu5v2qGPhBiItkkdTb0E558Cs0FvjcJvaWyFG543UfqgpOVVWFAYbZkUIks8Tio43rXV3wJ/vAx7
eWGR+lq0PiNPWTufuk0W5s8y4UJBqUfmlj0PuBU4HYdocveAaQ1qH1N5+c1vqn7QgqKNQCqAwI3E
zvusphr7gU3YKEOfXWGklFDv1ww0G766x/kZjQi/bj8W0VkX7r0O9EARJ+OFp8Ju6MIndSj1SxJo
ZLdTiEGGP/lzNiWqN214CEYelyH9hj9kvu5yeQkdFe4JzoqeIMaR2zwtVtQqqxiuKr6dPGwD1HHL
ja5prABU5oWzSxPPxG03ZyzlGvtCxyHHCIkLT5kvuCnhHoAakL6UAEXbTlxT/5k6xev7ujRCtIae
slZLgfJUMa5dK7rPkSEtjMbUFp2gr+Qq7nniPTodTbAdN0+Bpa58i95M3u4Qsq1K+yvE0ufAD/Z9
APspiK1VYBRX0/ukde6wwfw6dQplatzXVXWrNc2TTq6PvPl9G+ka2X8ObKjyNqTP33XtmSckCfLw
ALW+XQVR93Lhq8bR420QmHGyJVpISXpVYpniOVfYITN8hAhIE9vC/BJyN6YTd3RQv+bF8Pibe+Gj
WwFBmqEiWmFQ+z6rNpBMSGtpZLs+LlKwkMYCvO91FtT9lvEcv0/kXbWmgonn1H5RZ5Nk2m+UJR90
WigQdNGZW9Mb/X2AF7vrssymDppXcPm6VHyyHRDDrVfy2yAn3XlDuR6pI11EsJZ/9xR/0PoTKiGn
QxiXHuL76HtOjr3psijfJQ0mkiKPd2YBw8wBdL8ySsqrCoqRzl3rxuIZ2GR+CDy03vmiwPc5lO5W
z+Oj35T6mTFMFoCtB4QQXy7VOmub3r+AlrnCMOk2cjEOpW+xpVdDn7CqXt9i//HY/2fwXJxem8T6
H//F/GMhMF4NQvlu9h+3Rca//5r2+Wubn/f4xwXObUVdvMhfbrV9Lo4P2XP9fqOfjszZv/91qwf5
8NPMOkdXM1w1z9Vw/Vw3qZz/Cr7HtOW/u/Jvz/NRbgfx/Pc/Hp64BNCIKXt+lH98XzUVt2qeSSzq
P348wfe10zf4+x//r4rGIiea9Xq0t12eH2r59z8UYlF/qqgIUdEy9JrqM//4W/f8ukoz/3Q1c27f
GXeSx/rjb3lRyfDvfxjOn1M1nj11GhzN5rn842910cyrtD/Jlrs8TwjdLCL0f/z33/bTRXy7qH/L
m+xURLms+Ta28S6yRrWc5RBCoIRX1TSTLMPPL8CsdOqaeHt37hpps45KqLDzR98n416bQPj6SFQc
S7WWzqVawYxF5u4zFPg+Nc1GY3qfQ9ncdDLB32bownbvE03az1MkwLM6C/dSKfN9M4ww06ep+aOb
ZudlTtZ5CX0E1ihl0mw9PcSsOsbYoBhuQ+pUGWxoWb5Xc4Tdn6nTPNdD6W9i18CO9q8PVCVUgM7z
2cjYkCB5do9231k3E6y9mg4PzhMQkR0gpltYJdL0QFOw5fAisZ8/9FL243JkCLU33yb11HuMEr1e
B3VOfcy8um3H7vuWcZZTAZQm8bCKWxLWth6XU3ecX8wFg75LTEgd8JDBYE/LXld3ZXao832vbros
F3tr8Iu9tFuxf5tN0xD/slwJ431J5K2Qcp+PlPsu58mAWnTIUtPS+UPxNLmnNN5Ul37eqMuxaPFE
nL7524dmT18/oM9Bpev089PPmADqgCQoRCz2obCLPcEsoa5daldQega2RgRoWjxv8LYVFVKQvA3c
fbl5N0NZXg/kSQgUZfV+ntL+mooag+LBd6txNfdB+xlxhv+cduu7TY1ycqKKzxvO83o7/ZA/rHo7
+g/HzI3ppx1kic5myDTe+vwdb2cXr6v/Wjgf4/VM8+TblvOOmdiKgXstURIdzJCLM+U0pZhS3xtW
moG7nCbnhfNHOaZfXVP112+L5imMFb5vZpXKsMuha7xb/raDVWvZvhCYMQD56HOXXx6IMJ+v0/Pi
tw9nulde188LP5z/4VDzZFR28SaxjNu3Xeap1+O8P8QP5/2nydh7MjAXO3t/hh+OlE5oe62F5vfD
3j+s/8Uf/8MOP0y+/dE/7Prh+nnL93/a+y0jBJsIjIyNYyVg0Fwe/7fbe576l8ten4v3qyM0dkjF
fzqOUvDUzI8OFajNuHx3BsTelYrV+shlNqve3uo0aW/7vG397rDzChtyX4TJhDtyK6R0b/fzlJbT
lLzNvlsGsgJiEWblxf6fJudN51Xz1PwxH2g+5NuspbS0gPN8Nh9unrQ6yZF/ffZ5w/ljPg2VP7cK
zPDNvEhPSrv9PE+2MWjpNTl2bYuUA8cbVextyxV7bG9h9sYN5JN54fzhpro5Ll9XzVvNS2XUWSOG
AyU0ujLuVqZEP3WYV0GEwXltnlStICsufziMbgPg6YWWACtEmYlxKOeWimEu4kOFF8UmQde1GlLt
wlMIRGFQ9i2qzC/+KCBdaKCkwgygUdV8S1IzXlaUJq/b9In4/DIrMDTIFKBmg8j1ZedGB8YYYp32
UCrAnTbZ3nCCR2NsYc7yCoJfjCuiX5UOtVd//ZWvX2Mw0WQMUYVBzPRKw62Fj6mdn2f/5TIct37a
ZNpj3vd1jw9mvRrn5cW7Q/8bh6EgstlScL6bj+zNL9v5TK+T89L5MIg+eO/PJ/iXfwnmDHt8LIvt
j39NTWpA6MO1mN9kKpm6vZf1GSgepuT0Vd6Wvd/mbfXbNm/LRGmDg3qb/+iwelvx/pz3fjvE/+w0
82HfzvJ2mHmZFydfssTN94NHf6GfXl369Dadp+Zl8yxv8JOGF/LmbXkb1h3vwmm318l5VTy/V+d9
3h1xns3mN+S8+nXLeadxOu089br+bf71mKEJlEqx0tWoScAbhYJoiFCapn4NeyU7hGN2TtCwpXcx
wNRqiN7WKqm7Kam1STQgw26irkY0rcvUhFsbh+Jb0trjymWwg9eBkGs7dCA1WokHBzg7rz0MO1qp
AQdntE/1xVfDDJKViPZJjVGBizWXIDHslhiO+TpJDud6yEGZBiroV6UuH+MRK2LSWuk6Mo6uHYyn
oPS3NUUq+6RKtUUalbeqA/gvLOrPaaQ8wkmPtih2vXWBfiDocI6N9RH21D3OFx4uNsBdLXggVhJu
oePj1qV21Cbl7cKW4EXL8DHxCwJYnb0zatwcLB8zdsIa2ILX67ZPu03umDsknydfiV5wYYHogzx+
Edv2OUOEcOF3MOJInxLbB65juUl+iOiRr0iU71Ndvc+MpEcrLc7VAaY6fffVYDs3bVfEFMFu8BAy
lmVRgq/1oIiYVIoB/IuubW3ENTNIk8VDm4PyDJsJ0ayoGtTzKD6PuvFzkUYPjhyNtdZ9UeubJhCn
0oS6VZKOUbO1cKZ2zgq3Y4UkGZIKvclITVYWrnRYK8eU+mKI4FyZdror7Ya7V4eQb0iwKQ1EgGKK
QrkywNcZKeFiCI0r3XhKW8/YMwhuAVaBN0zC4TqTOGhE5RfL8lFDuP6iGa6CLNjHuoAo27/gbjWN
GCpM3EXZcC2Ihmiy9qG/UC/h52F0Jgm40tWtLvIh2XeSRrVU4YuagKsyUrprN9ObpVN6j7FGGluv
dRcL+Gzl2ZB8LY84VejoX9rwyq+qbCmiqFmSpnRXQsDd89UtdBtnbeDPndP3x2Rl00R8LXvszvrO
/YLhVHzZNmK8aj67N2rftFiLE2XG7PdZARBV5mKThuqnwhsLrBSrRRrgxFCPxskg21DkpN+Fs+g9
gYO81ZtYrODhJkJKQXL4ctLtgBuZBmmBFF+yOEVxHGPbW7qVswrLdqWQVVv5U0rPysqd4ckvQdK8
CByACD/IZpEll60qszVhMuvS0jBkXrYJZlMCtdLBDXyccSdxlHhS7MDfgFbD3UfgElSA9pKNtsf7
5SUvzZPV+NpGCG6HdYh50docI7H1klMZt+3SqvR0adfw+awwzZZGBgYt86MIsx5e0RibU2xtZ1CD
A5RP7ahdowmrF9SncRwfz5S4+yJBgtnSBrEfAads9GY/7zGIkJCcOlzkRX3K/UB8ca10F2njQTrO
JuP5qJOsQmWQgOCMrxp6+wuBIfPB1sJu5SP1SlTGz56O8TwFVQc9jlFjlgzWzEB77C2g9X5n4pQa
DOLU5/YZuf9hV6WeuhKusez7tLmiOAWMA8pv3vbYxVlalJ2GiCuB5N2Ew+jejV3LO7wihi0aH0qr
QTlyaZm3etOX57DibiojdCES7KkWjTESR1VGItRiQEYXuiTlhhRon4WhtcW95dR3DP/axMQAF/uf
UKFOp8J1vu2S4qynMIdSHW0pg4rKQVduxrh9MAnaUDVAxJ2MEYhKBcwgoXsi39XaUvwtwvd+oydT
VWUj7pRmymFJwzz3SwqFvOGrQWfENuqc9hSDIMUtaN2qSe0ONGgdoJ9AX7rR3ANVqOWZhUFLY7XY
2NIkWJWIlmGT3hdAF40OmitCimplmPVF2XkQjVpZLtRQDaiaI6eoav1nKYnCW3G3E1zchd6Gz2Pr
P+dFeBFh72zH/Y2fl6faFxYUXVLXWJluhKYA31QA5PSFvC0oYFqFPqw7VUlDLBaMm9aY4KeRd4Yb
W76mKRxOXUzWy4iUbZvQ6IZhiq9cZsFrLoBE2o7YAKtrAAiQtk7luiz7o2/YnzMvBlGRkEvLJufd
YvyyQmB8XTriE0/flA4hqN5hC7pKmZOej8EQLM8hifJlMAaHGKBOX9VQegecuPosuMPevd02xgPa
lJ4ACkYHGr5OCwJPNz02QSunhVA7yPCsjaWz0FACJYFGWJhumYT7p1pfIR+CX9aJZGLQgjoPpibG
11jzZiPkKhyalRwoeqimW9uT1g0ZyLZ19UNzaZcloVceMJ40Y1vG0YDIDn/QSdBVZ95BH1qSB2Rm
1zictGOvrSLBM9n5Ndy/UtHPeuvkNvJY9km1Kh3uvQ4jdFy5k7NE3lf0opa8GlWf5k7K5CsDhGI5
tPXCk9ipFlNg37JFsjITo9rKKo7W9KTPKnCNjT7Up8SNEEWb8RX8mhWtXbyAo2EeoiKEXNrj2Bk4
4IhKrIzMKAYPvC1GPAQb4qLLxjG3Q+t/Gu2hWJq992nQVVwbsGVapA0uaYP/UDXWodVz4JhJRnwr
sZ+zKgXR2g/Rkicl3/mMBGBl6zd5H2mk9LGJSp2DbocqZAjQ3bL3tI0My2QdAwDDR1P/UrqNtvSq
SdrnsghZibsbHBTXGGZ9IaKGdURLj6ixI0iv9l2P86StZXf5SDUIQiEEsFxhECywzb3xvHSx0KOq
8ZYatGrRIIFcAog4Ji42x+1gJYtSi/xl7ebuhKlak66+rK5VqfdH5PwbJ+4lTFJn4yR+t6EhkSvZ
PrRNtA58s0dF5p8MJ4UpHOjQ0BJ1XyYyX1fEK7oEE+ioMQmPx9Enn6Ju0jbK0Wmgjre4P2pjsFfd
cLozvAXlsRVccftYVEq6NXGAocoCYxN+aaG1xwI/bmyIafk6udSExOXIrdyF4UZPQkP1OJh0FOqI
QhPSsNgyFKIigeIhK2sFGGTM3wgQNbTHe+Tfm7DWuos8Bl3pI06HEJIfm1C114EhsJlXixu8ie7K
0q5WUsqTZ6DbDFpjmUpdXFKA8knHcRS7yt5udNozJGnOZHKLwUJWJjdNop2zEZfNuOot3GTGLDiP
9Pab6DiVGsMLU8n2od2jiNEvzzU9vDb7FIJ5jFdQHD4l/Se7SzC+61/STiEv6ChQ9QMN3WiHc7yZ
OCQ8s2ad2XW17F8I6IP9L8HcAj+4cz0Uc9gkHf0WE57QxSKndBD55nnska3DEyBKcv+spAutVsU5
1RYY4KhmvcNRPqUyGKC6cdaEabNoknOHMy5Hkjz49qZTAaahnpVOvxnRNe9o49YZic0LG30DZqiP
DZJdM9FA87v8cGEabeJGAZPtNYcytG3ivPahFDsEUtEZtTyroD5LrE47SI/sba2WOMFRbKRj6OAV
wtgyfFjq5teuKA2MvKemMyVRavcYhzftY652NCZQ+MrEX42Be8uITTCs2xa12MK8g2juZde9OTkw
5+IiMNRrvQMoSu3BjUUqLKjbZEk5DNVN4ec0niDDfaifK2a5ViO9gbLer8eyp2kO4/AAA+VIUdHQ
jxCFTe0zHmregsYQlkEiznkP0t2yMX6hpBjSuIccgY4CuTQsKYza3Jalt9SsWhBA6IpVoH5t5fBV
sdpNYJDG1oziOvPcaJtKmOk5DtRNOg4rVa/gKfsjSsYoHtdqq1/GdnVKA17GlKWfNYkTY1zRHq3o
qXL1I9oq+97IJ+/1vVDob/fwQpZj/DyMBlUILfIz07Nwe7ZG7lHykQoY0Y2bUpwvbYWkGUzDsNCa
VdlpPHzwv3Evp2dypekdVWy+fsSqjTyTxF838BFsxIo9WaOD4NZSIg3g0pBugr+VTbB1KoinAT5M
FVCePEjvw2bEoaSCfQUDFWPDQtzJ4mBOSAgeL3oHGm6YaUe4o8fuAM/Gh2aIblXqzFa5j/kjNYuO
1+J1MbQvdnBHOB7Ufz28dFlvfLJC7HMTRUwdy95YdxoU1riomwt7FaNA3gWmf1Dq4FzIFi/eRg0Q
aF9kXvfNG+rkgsjRJqLuZa/19UWdRDC7x+AsICpM/Ub+YBW4MXVytCirPLNDLBsdr3kWrhhWKWJz
NXps9aRalKZN0MZDPep1zVmYyqcq871N2feI/i3sKrCu12xeCsLxHm0lWxUxivfKw96r3prYG7ke
Vja1H1y5FZUiur/rNPfOrMnUtQySKSQbbiu/5Ko2d1oAcRuXYIGcPDm2an1OK41DtyR0V8XrVC8+
Fab+EBbduULhwVC0sP6BRokkGo+Fgq9CIjUcB6gy2lYoPyJFu6pkopzU2PJPYizTU+kfKDdyFKyN
WNT17VnVp8nF6zLNCQTF11129rZXoON3kVV9uBHTkeYVKEse5Oj0qxLCshGON3V5U6cmKnsNvYxT
6ZjAUJ2HZWSLv2oc84cEd4rArQ6jwXEfl42zblvcnvroANUFkY+VHlsoh1dy+hhg61bd0qXq5uAE
nXWaPwhHjst4GOmJFs73ZegWyu2IUe2SmrPvy5oRVJJuUr9UusqicC3/Mps+KB71hFOeeCh0mnyJ
fXam6yfc1rAoSQ2xcwcHc4hpFidV4xRXTnTZNfXrorfltW3eg5gz9vMiVyn1Uyr6cZUhnsbg6L8P
aei+jvsx9VrzJj+sMBZ4F1KF+Nemll5A9R/A6c4nnlf4ISx1D/dGBqdiNS+aV0aJmh8se7iZF1mZ
iI6Oo6y6IIyviBUWGEWfpKZFV13Zv/Tgvc46rP/UIU7P+94yT/OHO/JcYXtnbd6WpUObb/3aSJeJ
Ct9oIQi7nBtKs0+sxDpF08e8cRPZpHP8ZA10oF7muYva1sdqbjFawt2+zmM0WW6qAgiMmNeHwsJQ
zO5Pce1Oioxx3Y4gxKOyMU8olJRLKzoE04zB8Ob1g6HVlwZH0P2A4AKuZYBUo88NXg5/bdeDOkL8
hh/UfCBHLewDkC+cRbIG8wEkEfMdNYqIKgp0eF6a1ZewRYMrU3GDKz0uboQfgFCeNps/7LJAUO/m
YjfPzttqbo7lSolJ8LzXvEwf9HSlFMlF2vQ9JomBd0pzwzsFCX+wYTRfA7/yTvNy3cnaS7uLF37s
qnyPaTO/Gc6Eo4dIWtiTUeBJjTSDsA33XzFEcqcEnn0qqS064Sk+IbTcccUYyznNKzQZ12eqAK8y
z84rgkQ1j2Va4qqUSOzpvVCibTeMZRthUZm01vnbtmFZOgsvqZ1tqpfxxqWwcDViG34lcopXenNI
1obj45nhyNLfUJ7bLOuyjK6a6cOUtTwjpoQNW9+r/6ci+LdUBA5i2V+pCAjj5M+PMnpsfhIfvO72
XUngaH9CYEHtS3kKOM+ZFfFdSeAYf1K2jpzRQN6Cks1GAvNdSWDqfxI31lDVG0i+nVl/8F1JYKp/
euAvoEFaKMxQIGj/EymBO5M9f5LSoVED0AXnVHMAxrzXOVr6YAO1hWtQpeqO1HywbAK8QCN6l+GY
e0uLgkqpvCQVqim1xSqQ4do6bygzS2Kb8eTUo4mU2l22bn7PIPxSlS5lViD1g1z4h7Z86Zv0vHVN
Si0AnUQFwyRMm1NVmcpZWm85NCaIWCjFlGJgd5YW5haWYIQojKhaPt5FHr4qgzYetVC5Eh5damE4
D6gf7hAHXqWwmHDh6nhV4jjnnNQ1oVpqR5DaMR4nBs0YGe0NNMFu4xvaQ6zlYjkUyUrt73x3jJd6
ZFKadd2m3m3VWStlzG+rMXwJK/toW/G3pvMuazu86Cr/vJfkltXqmGgIzoRkmN40Ngb0bfV5DMUt
oYtrRhhf6rRCYdyvaxUVeeY7n0wjPDVQbduKP962EIIW0QsVPAZhD35mx9avbMLvlQUoIud3SgL+
5sCpPuPRROHSxsj0LQrldczASXrVGt0KgiHz2Hrx57T1t4HW6ctkrOnj509GGa+rCpsclZ/NrwsA
2ewS+5aAZ4AEX2ZUUqe0JfZwQee/R+vMVQXggwRrkYQZdhglf0PaolVVgWipZr4KdOg1IWZZjIzP
zN7+6sNr8yv2I7aDrQmmWvRODlGeQW/z9Xphz3cKkXtSliAGx1VsVliYhDhVJH1wZpe4ZRMKw5kv
Hbmc+m46cIw/8GK+2mjzn0xxHwz8DiI1GIv07n1MdIFoYO9CQ0iv6qDcWxOhBhvQyO5gb9BMnlmY
uXQt+ErU2NjjdMcm9/AlZNDVlMjpDGFz4cfgLqlRuPpO4668In+pjdFbp3G+K6LgGDncOvzfSre2
Fo0zBeUK576SbkuhX/Dop4zxJn5O7FRokwLGOmCOKa1xwgZDRjXGrySbSielSzzHGU5Kqz3q1aOW
RMr1VH6npbhvBY1Q6aKtSo96L8vfm3DnN5XjRDs8dhHUkWyp+Vs7yzlrfQflar6cHxYfae5SDVsG
Sxqm2eqLcFp1pQ3GVYaAeFmp3m3ZB/coe45JxPXV+IGgXrQRQXxdC65KmUebZPDTlYlfbVzmfE2x
CWJiZ/gz9JikPfatvxQib1c2ATKPDtkiuFa7yS2KwjC6RPQAS8q5Uu/ZnyrZsmuhk2zIh21qqi/4
zveLUZ8evDI5S8OeIhyKwPsheek9fKYo5nEXlV7cW90uZAxNhJcnQb3XyLdzjwIn15QcrxnMiLlF
nBa2bpZxrYIc51fCJZ+1op6s2JGiqmXtLau6+tzF6OmVsyygy92mPGIKDx1svG0psnPf4HaIjFtn
KhxuBZwqbYSd9C0pg03iZkt9EjcSNHlRteDFrLQVoxOC4LckazZaop3ckFGl6/DQVK0A2ITtTFLg
FGL2CjP+QRpOsk5D1iPk/2ZoDk5oPfZxXel/zis4GA2X0DGdW73C6c3FM5k1DA3IQNE/omQutWlP
jRw0VBCSFLC6dO059WdQphhCOiXqw6bfhvVwPmGiEtuBtSJOuZi0zRSn4tpBVblIsm8KDdkyxgAl
EzQs2Jp4WJAvU7221iIo1QWMxoVQQ3tDvuy6QTa2pJy32WU1yC5d0BPqKkzJPH16Zhv8xIbIOfYx
jWVRVQ964b3oDEiWSo1TH3W5K7+kU5QIHy8a5eDWSr+VgXGaOlpVaOhro+QLeeGnmhz+GsgicZ7O
ID+FGyn80npV1k1IPNHcED7MeRkkF/BpsSHO3IsAV7GIElkvMm7Q66x7qZhLdzRJLCTFSo2TF6PI
sGhR8mLThtaxU7iCrQkFJA+Af7R5Dl6M6L3aWLvCxTpUsxblhZpV+DI2aEfUDCaW5xQ0bxn1TA4y
5yCET9v50lzSeV231GasWuJ1y870ThTTbkzjUsm4FIqfn+vCf0xQxwQaWoNQxE9Nnt4YHVcrsT53
GH4vRgdJaCEqb0tE9ptgZLDIa+u25eW7tA181czUxYQK+gDwh3puS4JavxqqJF4Fnrx20vBGrZqn
vunvKjulglpKGgs7ODnJ03yX995OJtRFxtR7SnvbmRiaZ/WArMEpLiMj2pCdp7nNzeqsNNx+Mb+w
rJBLMir8oYVS+8u2LvGX94x2SfLrm9GKy36QD06Tv4Rmto3H5ktRchtoWvqkKjyL1CfhY6hneNnp
1jpqzTNAMO3S9TC/StXwUMZeie22v7V6a1vS2g9+c6YExKaJyB7HzrnoEFP4MblG1W8x3Q79dYMH
Hp0j3lOj+qza8pM7QjQL0+FqNLBEHfPyS9QQkREBLyNFg8Zk9Bo+S/YUVG6ripdTelRqks4zJM2J
swe1S+4J4O61MV9EPe9JusRCVZ/RrEBE9PuvpAcQ5JkpvLXgAbBBS1runOKZUBZA7CuE6L5Wjouq
h5zY2TQ2XmKfeQ17O1LmG62mxjeL1FWFu6KSBjRSsKnXjaDx6RzltmYQvqjcwECtrV8hKaT8tCeE
NzWQdm8DFap5E8Ptw7apPZS9vyiDmIRny5foGo02OewAipjOItWOhsN1TVW5yQCBLebXIQ8PYmx6
HOnU+4ojgtTK/2fvvJobR9Is+ovQAZsAXgmABjRyVSpJL4gyXfDeJIBfvwes7umZno2Z2Pd9YZAq
I0qEybzfvedqhwk+lqfEyqd1Gd6wgOYhNUSmV6HZdpb5pJK2SzU1ge7GnTIxrtZQb+s3lg2K1bwo
kp8lca9GT/IvrwuVEaRaXXotiGsluW1Ll7TRr1hOlZ2ta7dlVd/uR45r4M133M5zlIUosiICe1Yo
BeIWtzcrkQf5igTeKf0DNLsvaVYeC5OYb3zDJptzIJmVZ80kfecketRXmfhDZvP5kxzJtAbKL8mC
Lq1+d6QGPIqZw75Vo6/DaFnIFNQ4M67ewXlo7deyZqlEduVxFPkeWhOehgGbejNl+0Ezn/mVY/ES
Yjgjs//x0C71cO7kRPBg6VDQu0DME2lZrWc+1WhHVuDvCYw7CoSor+zL++JYhl3naoGsiy+FOvsJ
uAD+y2crsb/GtsWmrWl0Wni7VQsJ3Gnhr9dqv9LBPmUAgtm+h0ldPGQZYv5oqOQ1MU82i9H/sj3W
9n5w4ixIRw2NxuzG0No4Yk2ajeH95f2BwcIY0iYW92MozG9Sy4fQVuw+FGhSnlhwt47glc556TyY
YoEE34shdIFE77pME55i9Gc4wc5eGfbCkRSE2Wkw9+ZNKxOsW6mwdkmOvmSaLWOzLB/dQ6kjGpsD
sOhqey8Vv0eiccVnq2O23N7/APuvSUNxp7DyjodwHbQ4XDZzMswF0lTU624By5TSa2fs8nNS3ZZ8
UAMwLMj6ixZfbDFcGohPdI5H6PklEmI0FGhqunowEkOETjGKECRZkAhzPgploKuteoms38VcRS8M
31mAudP3uu4m2FjqdFmfikTcmtYAH11QTMp3+SySj8aJRWhEyITxRDsiBjgA0hwwTq/O4TBFiubd
n+a2zhJHFD/vr1KQtqz4ETu1NXvJSiHDTOvm8P6sYPZaQQ+GEIDBoU7H/azb75WyIvBysCLrizeI
xP2+1jUjlEluhHCStlnkP15D2NMDUVF2OCxUk1HmQbzv/tSk6GRhIIQIyfdRukYPNSUiJlgQAkbg
Sn2WOQwCZodpWqlf2npSzl1mNmFsUXezvdJlynbKjUXlzc7U+JNTKOf7Q7/98a+Xsnk10ijai3qw
AzYq9P2Vg2RiMGiBLrEbq7aYzqVKy0diswjIq1ReRATyx9CtbQAe38pVxUjkuNa5LWET3J9FJq4G
DHDG7v61+18ZIdxXPV51kZnB/SvG9o9EVXHydg2zwF69wkC/RjKbfm94s82sdu95R9c1pTjiJiMM
K5M7Tmcw8OK6KMol25wrZCBfSEYqN6bC50rSYdMasji39ggtsa9cn/BjfLi/tNaEHuKEZCNmaK+R
qv6pSDPt0q8zKulUMPXEX70vXIeK5dSQHw2iuj0DQM8tPfe6fH4vR7t8bUbXCiDOGeirFstz5iTG
yG87scV/SfJq/4a7QwsQ9EAIeBrC+bfYcuEq+kob3Hgcyh4CfBRse1XSbI5vVM6nsWNVw8jFTyeq
8syUu9c/6Rt/JBH+JXnwv35/ExAltU3g39S/pQldkkELJUEjXOz5s7W2t85mMclG0EjzHyz29Tse
UiRhpK3/hWHybynQ7Ucnsk2QcQM//T1NzOJfYU5ZjcdiYZ+4bRj70f00FwuJcZrIV7ri1KSPf+Un
/8io/Ev44h/pmP9P0GwJGotQ2H9K0ORfq/5r/68Rmu3f/CF8Oe5vAmABEXd3Y1Lehac/hC/X/I2P
0RV8kuBxHejI/xC+DPGbpRKvARpLvpNONIIvf0ZojN9UmGMW6hdVaSRf/k8ZGsDSfwu5aYBaNBZa
qGiaBS//70zTlhmR2eijebIKx8HdZNLBXlKpm1qvhWmndP+l+K+EibV3b1OWaGjiJNzu3Z5bNRix
vh5jBH9HlO+9S2eZWB1KFBifYvaIP8PhoW1LpidjHedAN1IRJmnhO/EV3socZHpJ4VuElWYabYSO
jM5f8mUJJN4mzp2QzdRusez16idONlP7qZBW17iTQ5PPgzQyvCbXvjl00GaMo9QqnVAdVErObAbz
pWZMWL3sn/lkiJc+lZ7UTV9Ht38orOhIso+554ifpOF83mWzanF7Z5uhmTNN57Rg2EvyaFauzsYM
a0H5ceqa5DOza6xlLX22Y4vNi7D5rXTq9THjkunn1HX6/VMi5HBRHBa0qo2doq5z91gX4ZLm2Smt
s/RxtRQvlS57ED2bH6z6gahUvR+yMQtA32tMoAXmhDKavXisf68s+/fINgr2E/Wbu7C0KmHKn+V6
XlbQf0ldqZ6KAra7aVMvTzULJTeiibZjsAiBlbQOoJdseZWl/lIyPvWrMvnirmxJ5yE390upVHys
jJxWKgiL+WHoosci4z7bqjkGwYkJRzo1Apoa7IQxNc+b0GS1qvtgu2bvgebYyRH2/mRqX6I6T4Oh
gs4Z5dE+itN9J0S7jxg7l61S74HSAYOUwEQ1Z++08SFzHUphjXbfYK4jNJtFOyBGMaly7G0q/FLs
tBQNxZb7qbGoYGm7rjuk20BbNNmRQO1HrebPdd+dbBrHOocMa1u6643CDHvXD+rqM9JJT4vb33TE
MozJW1sa289VrT5aBXxnE3/us4Ndrb4eV9+zdvDGZH4eBkTdJTuOFaUbmTV/JA4tDYXQPFma+KdU
jfFbfFoEi+RBOG9qZ437opvyYHC1H0qbfsabGbnNp65wSCQVlCwii3w15+zddBjI0vU6e61Vf7Un
rFaxzCsMfQr+WUWxj2WsX8satytBA3SAzEdiyAM9F9zZB4xHZKTe1Sb9fdW7kjs5lhKjATiGV4fN
ewkpwM9WcDrZoqCTlPHXSY+tUx49Klk8By6s4gyxUS/FYdEHX7YWXTh97D4zDToayu8sCNTnfra+
T2lhHvIqPmZV/yNK8BzmxZLwC9Wfeum8FMlkBK91hnRW8a53o8PGTi2kN4/iscsNjwm+xrbUV+x2
qxvMzpOJkcbICH5HWIu1ntZfTPZ8koPX6sYHdposmCJJB6pL3WnTefYmdnQWXcEs6Xeyeq6FnA5i
nQRZ/PQ1GWnrFibGNU7oRC9eG9V8rwvbS7rhHKfxzm0GfHnsVOSVn6mW+VVLneeMMw5d8mKl+i3q
6CvWLZTFytXSHahw36AB7KDnhq84ymkqcAErLo5K6S3tmB1nswXy12s7nVY+dmnld51WMnr6ysfW
HpxgKVLq6enQRi6+xi5SSwluwC9b9Dttykf8WfKnYqzzjkj8O/saVsXEyJQuCx3F/OiLJLkRgT1F
762YmVOjOIdmNmI+TsdjioS40wbrJ/YzB1bfHJ3jZ6ehTzePWuXF1EOqGX4U9FbuSzZXQVpCwbKG
khYUk+ZA1EgGgtMJlx1+/A5VyY3f8i1/yD2Aw9xElmRXbXlM+95ltUAQYa7ASSlPTUz9k4yMa+Yg
TZZ3HZkDFF3xGutAvha0PE9n9nq08XPsynWLhUwakwUznXdlOn/Ihf23iikVD8g3M712VvcDK04M
pgu8lt1Uft0X5b5LdO3Apza7a7Evx+zByEG1LzmamYj7jlFCphwdmnW0XnVPWdWFCacK3j00k25W
0suwUrLN1edIUVa1K37ULFW9WNL3HjuPeipQUAtVZRumO15b2MwwxilQwIecRxk/60Ot4ARRpj3m
E0+18Nsr14X+NN/YkF0pjoe40URoIzDuUOaLw2xxZNTzpYz6a+KweVnVpPE30Mt+NjLlMCxLQFLX
5IBOFE9L6tQrJPj4oS1fI6uiRkmfAbP0aWBEElfuJGijWjPdr+mXX0AA7fVSV77OWqEfseJxi8Va
H7hD9TDNzTsOaefiyuE2Y5Rn9zq/Kbj4T/P4BqCp96hcrGncwZSlVswYEtyYlgahkoKLLo7NMxcD
LsoVs9hUlwcLk7hHKw/MAqLuc37Ils4Npm4e/MKwXp06fm2FYgctMxzc4oCtNYuaqSyqm326OOBU
xlshdOMgixzotVAoVYrzr00qP2d1t76uzrE3XTqxDKbeeh5M9O1UcTYSPOP3M+BC4pjB6gD/2Zzb
h2pai8Byw9joWzyU9lXUILQxIIaRYxy7ioe8SY8ylak/a+7rJBLmZA6mc4M4vHtQTXq5nGa6IK/y
VseYT3a1sKwZFtsSLrt2xF11siK+Kz5C7kDUDLavmDJrX0RwSZqVv9isis2YBod3pIdVvrzklf4g
Bt6jwoVkh9FTgYROMEMZuivSw66givtpKcUH6YxNQpOnNdXcsxVTwVITF+pwE0cdJ3KNqVVjq3+N
MnFJF6L0vTV5g1ofG5RwX6bt16X0y0w/V5Gtge8zf7rGNtJb9qSx+s8J6OkmRsst2HPMQKT9McXb
PSrJg75OxVUjnxtz8lmzcY2o59bSUZxo5vOcml9oOrpHdY1oO/1SZpbpdRZjBoRDxp+GF81FSR5F
RoHC8MZ6GBcOvFxrP4SK/qggzmm4BHfUq0o/65qVlhQE1jFPDzoHnITRwLXF/NZxIvqFOr5NSt17
CxF/MRbCXxEBho+lNssLXSSPNau3c1Eu/V7OZgw90v3QshadiwkKZ27+KVMUlwEhd+0xjtoTbHw3
zPgF2pE5BXbMOMko+7dVMdRDYjZXW5tx4cYgwKZkr5a/622OSLhYh3rqT5Esvpq4Zv0e4CZ2OgJz
is3Fqk/77Gir68kx3SddZ8BkFawEU5MW7tRofbvHElThUsL2iAJYqWTjOMOI5wz6KesYh0WjFnlR
4sD0SrTYc1sQYdJKg2xInJ1ZRyfHXoGQritrJrZ2J1aBCPXOaTb41PNF4RA1CMZNJWScKR0vTU/9
0mBppd8lue7HEVRHKgnRoOH0UTz3tcgTSZS62xerc+O+NAfo+YsfoyBxRHKAFlX0Rcenvo6fJmQ9
L+qlei3sIEoyez9VWe2bsf5m2W0TAB/ZOU4//1pz5UrqLySRTk7Wc9RGYa9kjd/UsHkKpiWOuDB9
zk5ScAtc1Ba0XcLKoktgRGkmkQfLSH11pCksagLMGw+unND5h4W31KrPa9Ech6h7TlL6PqxVc3aE
Jf2WD6HDvzFqsEPGYTlpWdPssyoCxWMIlhI02VGiZfuQl6ZjAdvJopbVF3yYXjkLN1iMuDgJU0Vv
ZSCccmaDifX1mTJLe7U/tLL9NkZx63dV/C1dx0Cfon5HiVt1mLf0QFbM52WMGcWz5fBKffqp9bHN
zA3nFMBNvJ2SUl6zTbZlm8lyk6UmZuT3qZbGTf6UwPAXBkttbVxLXTAULpD0Qdi/tZijx3wwfTMb
wqZICYfMiI5t6hDbIBij7/oua/a9bOyTrjHImsZR9WWyPqMuQTkpu2xv2HVo9cBypmb05waDsjWY
6LWzY7DrwOnZqUTIaaV77msu7xsZe7Uny88G1GN3YAle6tnXVFUfsEyy3Kx3lH7ByN2IlmBZVa86
2T8cOw4sdYTCo1ScJ51PJAL3IQp9Xf5YE1fZWRNxHhqfYWu56qdFnkgM7bq66vZp3X9nrfTBSq+a
tyL1miGfKxzfykHkwuHrg2FmmqrDUqr1OGJiU2Prx0lOCUAbTGIiEIk1usRfqLJtgUu7XOJFPWXa
KK4j1k9Pyuj7KmS9JxXHSLoyqAgrhdf3+2JwlE0VrHcG4/XJ3lMUTFA1SVh8FcMDAu7OWieHSxwT
tbxWzjkn4KkzdPoDLFJh2fCFCSdxmin7KHuJI0Np8OQjXpWtmHaWxRy4H+WZDJD7NC7ZVUnc8YRm
z+HhEDAbJdzgbj12jfGzMIqXqeVSKrSrk+B6nNyJTsSa2XquPsT9Xk3t4WBG/aUSgADjznACTLQn
KmEvURqdlFxND05rvMb2FlUaZX0QBY4B7qEruzDsIWehP0wxa4lYJdFfzcKLO5W0ARbW2FK+G/VB
HVjKVv1kBgSI8N1xIO/NCOat0h8YwH/LJPgatIB4F9Xc4SyDNQmbHczq0OX3uhqHsP/YzA9Lgtpc
m1iIAaayqOV+riXaLmEh5uVkF52+BdVWMdI2SwcMsIFI7Ni3pLf3mZa4B2ajs9cs7ntq6l80NRpe
cHc+qzCh/axhDELEKIs/2xWfXJ7i9I/ZslcLe5P22WzYzbvrRAqacTplPAvD2+arlpOMFGnu7kXP
KitbK1wVKO5FnX9y7enCRLk7MvX5pLgJBRDdsl/IMo2w3zJj189zxa+UAFGi4a8e03xXluvouU77
CtRyIzcMDXVC1jeltz43WcbHrr+5VkmXa9Zx32MZZWi+lWz8JrlR7nDyAYsGRlmIELxg54/9AovJ
ogEl16Q31e+IsJFHx8W01+WHTJP6XHMpSCvHOWSJ/kKZhleoZvOJceOk6qRIBAbnTn1Ue8f2p3Xg
npf7szXkgRv38DCy71WcfAEIaV2auriuCgQ/7pez9pNI90c8RqEzqHuzWwFCo7ygRcpALw3di7Tx
QhsjBZEgu0UiTe4hOTg8HTDwSgwKCSI6xQTRtqzLUlx02VPqLbObrUrGuz916YKxkivGpXGkXwhe
syWlRRNP680Cf8wayclfB3tfiVkLyjgjWlXfbCGjJ5i36MBzF+a6gWtZo7l6dK6I+wG7N4VcOckF
ugGfi6iLjsBOvHIzZDityvZ0GeVxoYu4LobLYFpM7kY0qj6p9rajftJla58cY/1S2jSf5BFOGC4u
daRdcxJix4EVj8jgDE0S93MXE8HsnAYiIOuSOGLfZBTVVbPIzA7OonE9VV+byf3c4ZEhA/sqWmfd
wzn7DsybL2QcyybleQ4rhxHH61Wgall6fMXVyWSbS1S6xSKmkXOzzF7mBB9plSDLeFkRvxQbrmQo
l+vQIg0NzSI5nFT9uVrTt1xX+2cNdusuq+TX1TrIPmtOmNbehDF7V2YPL+mafFoRxflEuYClJj3h
UwxGgzHY+uvp/XVW/iDGVJ+UdMiOrbIGTQdg5f6gCedArZF5uL+6wxFarRoOjsngkWr2pYT5HiWV
G0KBV2hFVB+mVCUpXo6nvjS1U7QxbCxsaStHE09l4RwGtLdDoqVcyfLxeN9MOp3p7ot4NrxE9NPT
ZuhYWvmzMohWJRoxyFhPHntbfx37LiaKCA2YslZ2x0RGBq7I36XyKBJr/Abv6tQWRIgZF1fnnmee
OooOiUNSKJ8igJcj2GOlLfh9xt13Yc8noawIFtbIFU2jfoYLBPxrmDGanj9spyvppHwJlBfVTsyd
qspHI7KvihSsIZd8xMrUnHCsIQJpKVs6leDzsDxHSj2zOAkmtRieFav9zqWIQIIhrrR3h7ksPoSU
8CEV6deKykwkvun2uUvNz9Jw8sOaEtMh+bXDEe2VjVMGiUsOW1U/iLgQ4BknlSPE6aFx6s8MWnR/
sJt3bg+E0YewzbJ+h5lqxe5mXSKqznZCyc1D12iubxfOLR/Eu9vobw3hk7ZpaJJrCMbAnN3JmsRZ
SRmP0MZD1sZYxyasFIRzEcAaRkfCJ+WWqo+j211JOeD5qm0NfTba6ZUGYK/tb/aiGkerqF5WJWBJ
9jRZSn4A2oOR157eSiPxbIO2lK0MJ5SkEBgexUyb9l2VeLlNZnbntCv2vCI/IyfcaDS7LBAT99bE
ZE7SHUS2nn4b1QYdpP/jwdhAIMb2V+5fw7aB0cCYKzww0D/kXE6B7ijfm7LQQ7HGDz2H0uH+KmrL
zz3dW+mEatL2RIjWoqIpZztZRNrUoak6OhcZMPrbILVOGUIOoTpDTKpciSoDUM6Y27c7O0PekR2s
IRtQOuRjelNwpdreljKv8pCu7P1Wm1jq/a0OtMcXbIoS55DGBnzS/KM216cuY8kP26wJ7w+/0Bx/
vdb4oGB6JKf7W7w/LNXM7+3X+awDXWupqWVnNBiZuyfXDd0Ro5ibgyyZZkEdc9RdMc9kqwcTsArZ
bbanwflyPxkNG0UL4MPR3H72+3/JFPrP/3373kaeIpDGTklkim9SKFV5uP/EFj6YPxgi99dV4nZ7
W1+eLWP85k6EMBPkE9nz6Vpjd4iSNi25184ynFeT5RT7MZWIj1GxGYtlaLrDSab5cKAhjze5vdP7
VeT+kr5Eiv62fVO3fVD3t94ZxVvL3YpbDPYAl5w78EXzyLxlOFZRHTg0D+F/kCwb9fGJ2Ly5n60M
btZcljHooY0rorhutW8r95lJxYYLMWFB1dOBNRjXhNJ1m2OSrchSYDeWclYOBvk26aUZBd1pZJ61
DofWNCcyAB8sQxXjKFYlW/jlupBhTaDvgJjg+6xxx16mWDUuHH/6ECzF2FxGOjN6SGoe4uLSHLcV
xv36myc6boSqvw0wD/gIGyT/1mU1midtSCdjG96f3R/uR5yaKj9XdSbuXm1YLZ2geuSoxfHXqXI/
X7YHfUMXsU63PeCRUK+aDcaUbYQdl39MTL23/buTok7pWq/6ilDVaLDQSwOiwadmaRN2GNbvZTzq
YVlYNwelYK8u4xTeHwzaTwMLi/TOpjE0pGCCrjPbmG0vo1+GW28fo3dztdlobLROMA6GIj8W0SGn
JwpzFDtJbWDXcz8Z7w/NdjzfnyWp0h0HvCZKt4HKLBcgUdxii7w/rNuh8X0UI3dZbayNMG5mgwbA
z2qVDaf756AXUEd+fSKoOY6ufFcmi62gSL+R2V5owqnWCxYODC9x1h1idf08Y0/3rbR8WOiCv6rb
Q4vfeFT0Zd/3yatqsaWbneWPP9M65WBlwjnZc21dikifdqsCbqxhw1SiSFyEg9JVpIIhOX+B+GRP
vAS+zvZnWikvvYh+SnPgmtEqB7OTNKDk07DTZUwpSlx2EzYPCltA/Za3icwjpuz+iHlmr01dzQUq
spJrC4FhZ82QPWS+/VR146NevaAtoOB2LJL07U2rHTMuYnmb/VXVr8nMtlSZeKmYKzG0kdujMV4G
2zxPGLrytbyOboF8QZr9Gi0/61FLLkLv0ZAQ3ChBX/JT2mVHfCOU3g/snoH2mpj4el27csnUr1M3
2j5w6hQrdXFJ8nY9jq1CAfNE2yZbLKLFyntLO0Q/4gNS6vLsRBX5z5GQmd/M1pPq9rTdz+VHs6D2
WGrxNrarDKyGg0GTzve0Kx/LLcC+9FN2GFvW2HTVOQ3gBpFegPM355F4CdzexvKF1mdsT5KYuSbU
SE/VjfL814M961QdOKtG2O+iT7bYJ477hHCrgk1d2uJcatSHj+vAGgSA4JhyqyOc7FuLroeYPXWW
QjwzMz1QNF0cVbUoz8bqFL8eSFEjAgEUIND9+7zYKVBqeuncuidHE+NdMQ0tvD9rt5f3Z3/9QdJj
b5kjUEs5E1Pv/gdqYrL6ayxifP/4D+7/y/0vm1r62qOvYw9TRDiZugj1OutxA29PQZwqdC4kfqFY
+LdgMGxf/euhk7X962XVwQ+qrTKH1mGwRJvtsMJ6CTJru5Ogk4dxBNFhVnXCkBjCuohMIivCpefg
lC00hKkbviGubLgPLfdKeXBllJybhTPGbYyAWwGfSx9asaGEKjfOEymCncQGFZZ0ZCDKS4GfMJdn
bYEslsnZ7wlcAtaXpy0n4g1KXu8trgI7w9K+W4nK6d1/SYcChwwCmxjejLrl9CKzilHwU5qzx80d
94vMncgjTAcr1zgit463Kkp+FI0Z7Wbspp4hG0ZvXaD3pbhrmKGRFx+ktrNFomOgpE0CdIqy2cPV
tg0MfmVF1393bWbezhC49DVn7pu5IIynFgCtwVw+c8vWd7Y7bN5flK66e7EdBl+OILnaDeyzSwxO
pD3aJP0E5QAM4+BYHtujYK7LL0WfEdjAvlMZIzdZrnhWQua8b/gtWMhtVfbo9PhMCrArbZ58msoP
WB4O17UHY1GwJarlA0QJgB9l9DkatpO9DvCLkuismpNWzahDLYuFFYNwRnNgZ1fNzUHW1jos7FE0
hY5eDOdNlt1W/YbR/AQJwPDLPoo2ezQW0/LphmWAUwzfuDPIvaM/FMocMsd/nOv5QLb8rV2YsbnF
p4HBKQcWZ4yglIGEiR2BCEphPKw1RwBXygPGfkGeDo6EEWUPK//ZhLpYzaRa6iE99E2NYgydhPhH
b55tLooxZQw6/a9rs9zKnARr8anHfudPBvFJLoCcwZs/iBMYNCbi7ape2yh6HzRkyrQN6rY8zVQV
NWX6tWESYJfJvq7aG/zka6I8KnoTRsxJhFs8tZE/jGCWhqi6Cc3daSmRhNn9MdnVrY0yRgpT+hXj
RjCPOGGNiTvaU+Q4uZf3RkDCAoCKZpwVjKIKQKkSWA29NKgRgIGmg4bkV2fKznSbgAKMC0IgGA1H
vcoIwIZk+WmoAVOIC/K5CSWh+Kno0zHt+VSt7vvcrFenKvxcxudej187ob1o4hLZ1o/OuOVlixCm
syGViGsMkE/t7GbnRRGzb5G9wkVsaGfOdkoS//FAV45+XhyupWWS4fkCcLLYLNlyc032mBC+6FZU
7zLAQSj9CSxsWqTL7RLAzKHlHB/Vg9MDrWmP7mbuvCO31I0BJjoXwtf9dd/bq5/S0bKT+kDzBF5v
L0NhHKXZsofjyivj3HhPWHvsis0DyHbON7Z9JloFH+aAWhp224OekB9PmiXj7Oy7II3t26hkfmro
bTjGdRfS54M1UJDMv1Nb7w+2bT/15doRHkY63hEjrcPFMZrV6+dvYlUzryjZxNjbjmOayOBG9nJI
mmizE9S74k4PvP/h/ACOBdDEtnvRtof5vkLDIjh4JVIzwIAM6wkUlSzjXIGqtOxaGt93dsU5nG/2
SUWofPAM6DBQWt5UrXSSlLnr4e3Hn+yuFIHJWa2Y6GK4jLeHki1PqH4Y23p7WJUXp+InqZTtlnf/
S1sS/JjgdITh1IV0GrUhm7UeMOf2dM6a6DR3gZaTJ++d+It+JyCW6QbttLafeP61emQYZI64MpTC
NsbzHLPY0ymK85VthWr0S8tdowY1+NfrSrNOqoyHgztIpr1/fftseyMM9ph0c23ZKLxlTjuvaCPx
Cyx7/9odMXt/UPT6UnPqsz4iD8RSxT5SgRZExfpumP3AzrV6tSaNmDb9nkhwiEwgOxjS1QbdLeP4
pvYpkvC0DQtZ/orNQ4wUOIaxbaxEO6iQ7IXG3Wh7iFdO2JgER4U2DKaWBwzNgRMp2XG4/4Q9MGVo
ARI7dp/pQIoUZCwtS/dpY3wuFC6LwVwABtPsmsbBTuU6PU4gwjanMHsvthupiIO+54rKU75YbH5k
Obgvdwva/5v1/gvumvY68z+69b58pXmpiqG0/bNf749/9ifzWhO/4UqzaOfEYYcjDnr1n8xr3fyN
Qc89vooh78+QKozsLTdq0wouNB5xbP7h1TOt3yzT2jqCNSgopsa7+z/xrqFZ/5VRNfH8CcYqGiVI
Grxt3IH/Srteya2PSj+Kp1y1Ur/q8oVIfnwaYlUyFS+roDSA4TgEO7AgAS1B/KlU+udrCZu3bxyA
ep17zIpRvSpF/l+KE/5Wa3t/dy6seIK8LmqSbgEE/+cyitiazcJOBvNJaPWuBdZyxaYLGcdRrFNa
aE8QEp4tDYIHHOGtjk0pEPY17TjGvenZJbtPyFDETlbuo46VXaKV9Z262JRZaTJ5GKN0X1LzUq9k
PIw6+vZPts3/xdL7t4KQP94+eoTqwB6ENP43lHgXD7nsao0wpourolvr7NauWYuC1eAQXE3mrww0
HhMVlpF8X2J1eBw0/VwKO7kYiZleqEUIWzhIN7umUUPBB+YM2me36bD8KQ6eO4pHUnJ2p2nqnym4
6s/RNgqDUOQbjWpfSqV4+i8/0/Yr/9cDxgamoamU01LCqv39Z8JuGVduVhhPHOjVoetVfAydHe+5
OGPrRBOzE8265Bwf+yZ3nGNUt0po0c1+oUkVcctpPzvz0p7J/e3drKUqxfmkbwRBHRfdsygII8YV
nQ5uPAT/+a3fq0v+7a1z7picUZxVxt+OJroGIpiNGM20xsFKrmTPi3aQ2I52RQk3yo6n5MwwHmDg
kl+nsZg/mt6DJ7i3LIUSUhSwAFp9ephjEozGWLO/yGV6gO2O0yxNz0qmX5WJ3NJik8Sg6SN5cBQj
GAB+nhPTpRbT7hcvY84URrVNE2dX03tvQi40HB13udYz/S91ly5y0tO5ZGyGSpEeFNnUR9t4sOLN
LWjW8XGNVuAFDN/aaIBVA+T8xH7vlibCvd4fyLtRx1ceLLFlPnL1usxtymCVVIpGOtWMVJNOv3r5
cNnZUFWZUvxTj9eMrVLApWKjkkbYXBhy7E11mB7uz2Q+PeYZQyPVUPpnQ9frmwpuo9ZcZou670op
gJ/knwTRJA+nj8YW1sRuxJTrNPdqR2N982MRs3sq0/5Nr2IJNN4xnxKtOVoUmB7/8+et/2+HqsDn
DKPKwo5s/s1R76ASjtzb9SdFHy+TPeLzdTB6RixX8rEwsU7oN0lLxale8L2klvE/hJ3XkttAlm2/
KCNgEu6V3ruy0guipJLgvcfX3wWo71S3Zro7FIEgWSRFgkAi85y9117j6gHX5WUsHjS6PT7w8Qb0
lhqV4ylu1HsnVuQ/0iZw0G6NIG8cI3Xe/svH/lcjwDRqWJrpMDDTauKTO3+NGqZQYOAYpXqfFL0M
3P7Di8wrZlhkmWZiU3jUQn54D7OPZadn6VeHQERPlfOhkGN8NJXgt83sdNfZUqfF4iwEdVNso4hR
B78J/ot3YM6u+eusIqpaJ9xGcRgW/h6jW2qhURH16j1x7eIGc5Wub/Q96CjVNFmztO20WIWpfbBT
KlVjGp1UL3wJIrve/+f9piNt/3tkgpKrWMSK8Gno7P3rxcIdLDTCKA3uTdo+FZEqT+Vb7KOCoiaJ
plI05Gd+i7JU0vWKEBjCWag7TbvOu5KyJmqzLr6UKZ3UcWiWQAKVUNvn4EiZm6nGKgjFiR+HpmOa
7to+QVgRtA+89tklLYZD54Lw9VxSrEqrUE6CZL6DCOP3MKKr/p+/qvZ/HCIklEmmFJAl9P81kmlS
ZA6GPeVe9cFP2XThscNXshhL3VrFofEABvXbzOy7EAiyc3RX30NTn3ox5loL0NznYd0QrT6WE8j1
qNUsKqg39tvRScWqEGAx//MHNvX//dtYTC64ZvDPMuZop39KlVLzkEKz3mp3xDg2kaoBi1NL3VL9
+ZkPtXW1DapQRRyQmWqRg9aAtjkiUZH7StfoVRs31UfQKrP+p2G39kn1o4mrm30naAS7Oh03hlCd
RiBk2W7UBfKPVkd09WbWno13RadJnPn5IuV/oEujH3zHlKskr/xNqegF1ngrOTXJgHQs5+T2oDBp
/SNS4N7WUUtwaViqOzG5xiL4YKPdXgq73XNVsK9hP9YrJdVuKeij34L2UBrk6l001kEPG++Qhaya
HU9/oRFQ0jDM5MGoWECkSX8m10tAMS3XcvpSWqm3m/+83+U0Vvx1cloap4SiSkOnZPTXEEiH2G1A
R6t3mhKUgayxfQz+mB1HC4uvyVr9IZyW1gTzCxpoY7Pwu2FvZgMCTZGUu0SR7qap5GG01a1MxaVp
dIjNLLeWoeK1+5CyvmdnwxG9O7YNtBq2Qyhfk69MfVIyAXPYpYN88lLT2aCcukYiNZ9teH5xqh1H
vdHOdga6rhjcDqSCxC0Qke6VTWqXUSdLUZLYBc215zq46EIrXycI+fYaNq3/coSq/xr7Mo+6uKAk
mRSS/WX8bb8Svda0pivVe5+nb7JA+Gs3/jtZa9mxAgixsk2kieiXiqUbJMnRGGo0A0mH37nPj1Af
pgYp0F3gZv/FGDZnrf7zb2gqBmMaCwdFnQw8f3+ypPY0rN1Dde9yPTuGXVTdHNRDAI1e0Gfbp9IS
p17IdCFySlQqxZOtWwB5s81ckBXO4ZuTg73Di2ssak3o59KW2SKgP3waXOc8apMA1jVhVWq5AK4R
gbGoSFGuG39YE/DtNVJ5dPpbZ3JdFN2oUhYz5S6y6g+Rxt1+yjQVY7ClrUPpS1KS6tFkTgl/C7/A
2SgrZUlngYNfp3CgQD9h+ZojAPRpoAaOv5nWtstURthOPCff6LhtwHPoK11Vhwuc7zAamlPQrPOY
oZm5R8ZcXXtFPKtuWIYjbcvzZON4XYnTWnrLytOqJWq6ca0HmbdChxn/t/EXn9VfJxbLJTykls6o
htWKlNh/vdiMJJ5bRTB4dxF12SWhHbKRVDOWRgq1MhMnwyg+A7cHbTwO9r4Og4Ojp/4zNZVy3xkR
Oc0WHqMyuhhAeoitt8ZxJfOCaaOq7C2rtH34oEO9MTzcMKH5I6481jZh664Hp1MuhNdsmjqKbor6
ra4L9RG5/Uvdmsq5yW40ca9Ki/STHYaMIix/otHdYoTBxUS33390rWY+JbU4RDpZmFqotetUrvs2
6Dc2p/QC6VYDGpyvhP2GuSoxno3jKdAFlPDYhNCz+vhhBTH9fp9ZUmuS02h7y9Cmo52jVUXNN6RQ
OQGxJL3UllVqdSfdjPrTn1s0VvtEHiwXxKGHK/akBtVaifroahTdOskmGoEora0Vp3i2mmJRGVSp
crtXd16kPZwR9Q/wZLNB7tZRQC3CN4Sc5S6kINOXDlC6yJWLchw40uKx2vowruMCuJ1HM2ZRhDnE
8RAaGG+L978Kq1XdEUDJgV4sIoIiV0o2EJnNpBfC2PtQquq+IU4KV5Lirc1eO7Rk15ycXE3W6DfA
3pNa7HY9hdnco+TdhJfBhg4ErNhc633yc2wiom5Kn+9pSES1zYkGdHCNga175VUPfMhAUUW1Se8A
F1kEMCVKna171V4mRvsr1HDZKl11SdpY2ZqgFlZlgx9hFM1ddhw9/LwxOgXrUw1hV4NGEeexK4Df
KO0lBCB/Izf4Oyiej9RO/U0YxeZ9IDeYa4a6b23zJkv3vQQ9dwsyEC1ZEqxKlQMilGIj8irbIUaL
N0ZWfcpYA3FswRsvW3RS0L33WaWMR3422DB4kpgYqzvdQIIbV9ElQM+wDnPKjkoU58d4MG85p8qu
z536nBPBB3rWSf2TnTW/bDWzqSVU4RkzHq1G6Nob9BnVxR2C6hKXDkjAptzbqp0cNQf3g2LCWXW5
3jqFA9Ci6pKzm1fnJrCgVkm7v1sVibC5Jih88rVMAtSu5KIUi8T2cRYEaL0y1OkoKwDPIAhDb+ey
CiOa1VLU6NLFv7OYE6yPLWenKsXF4TO7TLkyr+rPA+qUVWNIcxVo1HQWBTNwBuSpkaObRxKrmm1X
Ys7hofLqj151lfFYL0adAOSQjsyxjHNvTbo7LVYIr72t9K+SV52EoqSUBoT91gu+P3zvvHKIfsWD
ewPhqNyGcehuJBmkCWrgmp1E6ztdNIjxUB7k6dTZ8y556x7qTBonQrM/4GIHawyPu6DuzSuE02JL
IwJCiSEQBtjjBMPR87VWOj8HH9Fjq3/vsY2hdK5cdNq0JwguqJR1PwWg6aPHWOvXv6w67C/OtLFy
MCwFnpANazvr6BKPsiXH4ZOOlXcb667eC829ZbTJRDHK5yytzmXpeucA2+cCjVC7U/3yFfyt9mTS
HvDFMF4CZUt8IpIDXYsWgsMWcfX4OWDAg2mNlUSdQN8jPSMmY3SZKHYfc+PFz1kLRSNwTIRldD1G
6zbPZbwwuFbYeC6uVV483/V3Hq2rLWrlSaE9BdO3hVwyEJhrv2pRAtEPLEzXujVZ/72gnhoXvf8E
KmDtGtC+W318N/wB+XMB71ltimhVtFb23MlrHkLNiAr1yjjlrxrchJWGAcXyKxfsNOhQM0mWtYkT
U237cue34pdfq3CKsUdC/PCBLDTyRVW1F+GP/bq3aYdQU6biPTcc/ukmq/fyMGx7bUrlmtJ/UPcX
B5ZF+Z+7Gmkw8zq3ONihc2VUBpw1KR8IxRyV9Z8wt/k+5CIaZmDmnCnQrJhkE/OGwJKzZqG67QW7
tSmM8p82pQNGgaglK5UcHz2j7Nqytc+52C4JwkI27taryLAG8CJsLG8cDi5tGGHSYoLTvSy43B38
rm23mpbsQ08M62RoP/487Acn39SiLVa75lBOm0R360MTJEg8pBGu4oKuD1lLK9qkJRa2nq7uMCl6
5o2vQv0QChsUxz9NQE4b9M4xUJ5qWGuQ9zddGr940nspCeLY2i0oGydNYgLp6EbFxNMtdN93VvrU
CLCQs7C0aiEsj8OTBnJ7lWh44ER3ACBF7OTU05j7PPPmr7uIXVGxigIcEjKEdSdBXSGMeNVEh9h0
6onMm7nN83W3HITctRUA16kjMrdBuBbnU0OsOMy3vE5HRzXfD8n9KVUyrHUrvZa9+hTG0tsLaCdL
K7bEtmOwxz5Ci8HXnBUcF1AWZvasSuqgrQeyqQWhqgRhiTkRcEuRibWl/lJyE64QIaC6YuDTtVp1
Gdkm3PpiLJYSGxLgTAzNNaDQqYGxtLswu4D6A2sWbDwLbyk97Y/OqbZjF9BPlfR+mxZZswtACfk1
kK/cxRZroB/EtQPoLYDzUyTsKOoVh65UfoM9/3A0ADsAnmF4scKN6nhfht26rL0dibhy5bXd2mKK
c7KjId0bmb+3C679sVSLXZB+gAnfdHbarOoRbF1leM0SZdgJ4Na8Vo+XaiyeTCOAN+XWlDM9FB4J
3bYl2JgjpSEY30h/4jmRKZgkWXM+IJevveOV1XZ+KJwipObnzbfmx76e++e1//bPX+9gQCJDciv8
5d//ZzInTn39N3mBmt8ZeuxNU1LU/PRofo5WtLi/UuuQD5OS7OvNQWZlOHSKXyUSkHE9/yFjeBqX
qIT4RUbWevM7zH/5et383vPdCPA/c378RN4gVkYJ8zlO+00I6v8IchhPvWCBZGf1J4EhW9Hj8WSe
hv/ZQcC/MAktOcybUdPKZRMqOokWNQP+oG4IVaiXqWoj+XZUDVEj2QyhYaGWMyN7FQHLXlArpxiW
az+JgTcBMPrGIW0LA5WsMXHPDEfZiNp/6uiMA6ea/jxv0PkYB9tyEAsVuVw6qQ7Jbf4LV0GYNYCa
yzAc0fzwvPmheTPfTYxU7oRhrKr/+SM0g388LY+B8LZK6Ky+XsBMPuZKTOchyQd7Z6CExdda75MI
0ZpRcvF0hVJBYh6h1SWjsQvfvc59Mib8/Kyqc3HVTpIXhpOUVDQ6xrPMbn5g3nT0cwmBm2R3WT6F
vhS6s5rljvPGmSSQX3f90E24IEgOka8H7Uli/XX363Xzs7/uzrd6rwKZV9mMOZ0yylVjoeFezmq4
SCJymubsz17dBZs/4V9zftfXBqM9qp+v+8P/JJLNj/11d37sT9BX0v8jucwbfHtY/tt3mP/AdKBd
4OkuVn5DrePPs5Mkc/5xc9R7PsXXf1ZNalGDS46BqUz3EXe4dkAf/99+JhGwH78+w//1vLkb9vVf
/NMXn//y10s6pyAgVD/ju7yVlE9rSOvTV+4bS1dBqE67KXfHqn6aJaRuEgFJmPdMHrVpshsVKASJ
ZaAy5ZN9/aLzXURBkwg1i9n+uT0//PXU+db88wbZnCE7v6BtVQIaYBuOWz0MdrhGmPcjVM7XVZOt
Chbic0BdORAhuP6jhxy1sHqfVZF/QuhM4nzWaoEVrK9QQqZpsp/hWDPQat6Uc5v6675rEAslKsRH
uJ9hBY0GK4z/L7WcZbAGZE3qEi4C4iTAgYYnTCHeZN6r8+9SMvHdaEX2nLOq27vTDEabfuCxfomD
mphA9uVfu39+7J9+onw+TP/s9a+bbgTRlJVV891uvJ+WCOhiGUF2HDJc9mNj52icrPRO5PSxx4my
ikejf2QRfh0IlPpNgUQBuncTID3Zmq7bYGehhymjLlpbVuOv87qutkCW0mXGVHJBhFp5pgVxRvFY
vBk3YQIjt9O7qxreHjXm3lM8C0mT5y0aX/0xqhX060x5Nro22Gv1pYGei/Fa3sm50nYUWn4gIaiM
4SKtKF5LhmCueXSJqqJcZ1phnoMG50eJC9mK5XPYFeEWX8qPjMEKAGk4WcPgwImAa30fON+LMlUv
WdMRXSp1d68M4hgTyX2sTOW749vmpkUovqtt9ZtBVsN6wCPUaAnsWq/Or9HERm8I4HAVtydegQW9
kMMHHNDvqWhxE4RUoBSFxRMdJo25AaCGsiJZRI8sbdHrWb931P7nSAMYcaBwtq5XeTelWvtoPiEx
3kNveDXMzNoPqfWZusmwUQAY7VysROQKOI8i9YKHVeFeAlv30iagL2kOx8Bdcw+HRmavQ3iVHxq2
/KVOmMu28oJ9x8lw9cjvWAaoYDdFkJ1JkH8zUKdxiXXxOSa9t5qgxTCVm2VQpj9FqqTnNu9DLo3h
jjrojQGpOMoRHX4cxJcwNNt9bEZ3CZHluWkh0RhS/ui1QXkt4QHrBkYuGCMblCrk2WnDFm06TNax
DfeuDTFniLgUhoVzqHRqBvweP0dLB1YM4jgAfZq6fbShO/Q7yahTRgpGRqVK1aVRoESadJD+KWns
9NXG0iT0574q7Q84i2LhaY22UzMv3loF+OW+OUUm44ehVsVNq4aGbDaVFHbVgX9mo0pEizcId1zD
P7u2A3Is3NHDI/DLHewJrM9Gc9fqnhKKPtCjxClz9Oqg4lALWehlXAfx843S9fZpSBMzJBJm6cfb
pr7XTRitmlbaJyjJr15rqXvi9/Zw7mISe6ghKkZur0oXe65N4s+x78R3sFWRvA995JygxTawR/32
GKg/hBDdkmBWg6srJhU5Qtl0zcLY66axdW6tsxhxezBc5BeHIvbazezqM3G84BI66iv9G2awrNA3
qtqtObszaAgcWEM3xbWVKSp+68kHsHxKPkZazq+180PLh8cQpO5dDeR3vZD9zetdAxXucKaFl1wM
K2QQm2AZZdaT/ZxVr2VfGk94yc+xVoYnIHk/IUs6QIz9CbyWdEBz6SM5eNZGmuvPtojXnRL2awgy
5Q4X8SteoHzP+hRvhlC2gd6fWjnQvwjafU7fxMRHC+8fCrOmhXw6dvCidKUA9TW+hHlcPkc9rAWt
v0X6xgOGcbcTYMeZeRCBEVMqpiuqxhZTpFhbhuPQbzEgKVuaNpBmWtKSfOEpJ9s3s20W0z8o0sE7
OoG5TA29p6wJmSCqDcwiqjzWo/PWt1p8ktU4LlutwSMxUiMcFCCOuiv1IxOvfpmiKtypBagXBKmu
mjZLvJLvQ8cnZ7WPQr2s30XWWSShxe4Zn/2voU7f/dza8JR0QwwFR7fS5CBAm+aB9OBJK8Ec4ntu
VoTS6nRbRE0v/oeDs+KS5jaRSVG1J5bq22TYudQ5ht7B16BnQ4WIYiI7abvizsqenb56rr0BGkRu
7UjqO4dJ/k5oDjzzst8qLr1Wp/+m1JG6ypDSrDEvuCA34FbpvxSs7apTfqjvmpuOuH0FZExSEYDn
BcP3AFvePmtJCdIac9eE7aM2wt9GFJa7PqZvgqwsjxN/1bKWfa7oUC/oNJT7ZHiQq4WIszdNDFnp
+NS1VBj1lB8A18kWhDV5PqF4UTVlZ1knLQ61Z1+3MX9iDTYKDdHwFHCWCOFhFGuV4+Ap+8wvN60x
vI2yIDLPq+oLLJuQcD1SMx3rSYGUefLSegqZ6Fd9iDRYuKwAB2HBXqIetTBhR0wAw1SJxdloIBQ2
+ZNW2ZS09Bx/dJes7ADraDL+yLqhvNuU6xqte2IqZ64x6G2JAR3esfaddT0+VXroP8FX9LeqHxaH
oiqxoxG38iJ0t71bCoWw0UH+M5rNvR1+Bpos8dqaiP+LEQpRxEFLNRLbTtihmrb6YbIDddSAovw+
1FzT7BhXajN3SmKqCc14b8mNO8yPuLpXHvGI/YpCJ96ZU5zckJlbpU9PtjTEbqzIJtJGEiYrlxMm
z8JtkPP/yLAlrCnsm01ndJwXzaR9D6PwZagRKnsApAc7Ca81VAsO64SOh1Oy6dNrnxjxAcVkCSFA
h5yCJariwmCZJHPl9fBpGvVlyFTYfEPwIZTS2nvpNGwn1KKHFHBRyaSSqVeJX7LuKd0PiB6aejcy
h7pZZr096EpmIFAGuqK0oKkURYqnGIc/wJTfKdbY19wIwfGTnCTdOHhUMTyQKvC2ShaON6yOH7o/
ZOeqTZVFRZ/6UN+FRRPQLOQmZKDf0nZhKS+tbTGkHvXuhGsYVdHJkA5r6YXSCoevqOGYGJiZdE8e
bNOc5krdB8V5ZQuwS2Lw65yzDB3EQ6O2cPqoJxjq7uXf+C/Hfcde2BBd8O6bJXhM6DjEJrXY8gYd
EAquMLSgpUUai0U6E0FcijBw0pSutVCj6I38QpeOHnZJv9OqTWkOlOYwzGxynKqgAsAnIah8lzJ+
aTsJkpUSq+NOSbIBNoLAh5lgpBriMnJru8679iXVT9x2BPYK3cIwF+86fbC3lIUpruAvUswPmnfq
RbEaXHxbPUm6b3oKBtg0vF8ebGTU+pq8971gWln7JETdeq81cc3ET7iEi1Ub2PjGVYZ/pjAcFcN4
VUc9PDislbvaqq6jalRr0+tfA1bNVJABrbtmc/Y814AtMYxbkoqhNMsd3oHPoOjjrdJyutYIiNah
VV1EVJerftDJGJfWmyJ/M6uLd44GICNFPQz8J/9FM+dhNJryqYuAQrJjvnH1ytfRYK1USIX3PLZe
/DEZP3zPJJYWmyzHR8GcEeT3UUYm3BsNexK2EbKHjc4hLejAJVR5VYr0h5Xna4dggYNLWOlikMTx
JprbnEbPd065mVwJAmFej3pkHcRNsKsiVholc+kTS/HGiay7qKaZlxvvGkhW20i172OR4vyayiXK
GNBlw6u7iWMoMF1vrnxPNpSF4Yv5SYcAIgQZ5ZK88c3x4u/2ZJs2YhNjttquuq73jgrkgkUUdQqE
cOAYHVB2Apvsm5F2W1IbKNt0wZGW4I5SNnUVOX4rHPKcCgaDinYMrCDKcJkOZRttm3soGv0RoplZ
xgZolUJUzJbNKN7TrOLVPQ27mMm+H2PVVhzthCiBerHsCUJ+yS2gbrVSx+sauAzsNPuWk8KKEV75
Bjk4X8UqFxSLpmratyemCsRxceHb5Vb/WRgqOPJN3oFqDbGPHYvIuaECvWrQ8VZqke4jKOtLIKir
IDEs4mqzb7lKslaTi62iahUcKQvqMN23bYV6fMG0KkQTUbfYsJMHeLh2jzgfvICwfzPhwZxQkj1c
OnLc92q3N7m2XdE/7cuiY1ZBtAkl3P7DrGjASNEEL4YSXROJuL93mTaZ1bgJSiIlI7gYdqYbnPSy
XtaxeUl9Hedh9N3IB+tXWrkfMvsW6Er/MEPlGjf6twxpKTjB/C11IvVQazJZa3lFJPGUKV2EhrET
anPMoi4nbAGpn5+qCbAlVsBcWJBbtskFLdbBn94zMep4CWS+cNTnFtSMLtyETtsIT9LHWWMr9iNi
/I2HxjjGWV0uwwHtHOJChOZ5q21V8CykSI2/qY0/fD9lZ2UWPx/ONDM3h93oqd+yzj0zPaoOQGq3
ZeiNFyVAbVD2t5YEQy/5VshOvWk+EX9qUeQrg7DVa88vscj10l2TYrBw9WaRqbW+dYf6NtR2QzCh
e8jkk1nE8oxD0lj2npqdNb+9gzmHW2IGZ8eNh2WOamoTqzgjHcD+JJz621me6QWxRhCUH28YX5fU
SyqaHAYkph7YeubDOwZjubQj0V9+tJO9o8GpPctLJjOKrSjWpRuqn4AglpIGNXE13U6xq3HfmBDO
2QsDLeAx5Z2D1XyMI5NdRV6SY+vtfiND3PpqwWsjSbefZs2i12hXBz1zSkUeiyb+BRGbFJQeSmZL
6/hgoh413UR9EAXySmzkiS5NdvH67yJHqGlThLwhiCYPoEAZMW8ixK7nIhnwclnNjplfchoTAyIR
wFH6+clSgr3bx3a99LFh7VjePFf4C+vovSolUkkHjJZrktkn0Y3A8GANMredMq09/MHbucXrP0oD
MaGUXiSO2TlksXbiee1mQG46GrlzSlmP4JvVkhXkvXoXOfYnHf8dgwEu6iq6F1GkHr3QlBs3HI6D
bvGDK4Y4SwcsuVto5krtxUN2wy/W19VODMYPrcfBE4rU33U+CD3WRMfYMN5p8Nl70sQdBLnKZzbm
HdqgVGwUaVTHpsGgw3mzy9ssoiMmYAiIxiXHsUalC4JHTyV1oYwavCT4eSm7KUXWSYo9JWBtX9Tc
9XMSXPVsUA7CcnBo4QJeVyBaliGNjy0rYjA4nFxLyjbxMc2UcD0k482ME0LYqSM3Jb0bQs7xjDk9
YqR1ivpqXbXNjkaE/mZkn8rI/GggF7BmNbZnHv7GMVMdK/1RU9W4R5FDyiNVmlpRkk3jK/1t0PxF
XfvmksM0WACqk3fDEUfqC4TahOk5rnUCHhN9ZyrQ71kS+psxd5giuA1hJlReD1ooiBqPiQlQkXVt
vDSBXy+Dt4qa4tkoU/JmvInxqfUBwSWWs/UHBUOJLbutsJhn5qh+j7zZIEmotIZi2JmVidqt1LDC
TAWSuK4+QdS45z73bprXXv3AdV77WkWinCrqketuvQhzoA5YZk9QpPGlSJUpaSyTHWxffU2CLTo5
A7OYGxWXJM6KbR3pIe6wPFkLPeyxeS5MUWsPOYS/so4eK9GQ/TZyDUgumIOgMsTxMq3V36JSdJIJ
kvXYlMW1I8lgZQbBYeQoXfZAUXepSfs8mprbvkukgoDkWmX+iajyECGkgm3fBPqeWU5388fwYFKf
EX537SrzJQeAaOpDsJGWWq8awEmIO4CYhA65v5jEz5YXX0WBpdScFiReYYTwz5s3kg83Vhtpn11r
gdnBBenKRnvpGBIBUgXPuERp/LbWpai04ruTtJtSxj8hr3msx7WnwhDBLnJRUWiODnBVb5J7YzIj
AWGwcYndXBM6D1POJlse8ckN+aW+d0vOhpjQBCZjIN9qM1xb1B6WqHXCFVrKacnQNUFJy7PSENBZ
7VnrC0RRmba2gMLsyhzbqs6YhuI7BSoCpXg/T0pCVQ0nuzlE+yGm056Xu8JHfDkGiB1zvXvWMQPT
m8UuZSeutu5DvBh1dHB7v9poro1pr3G3YQOHo4EptawwQ9K/Uz4cZlBGUbKPo/y9jSJxaAwtfKg6
zZB8bcsSqPdkSbBtFi84N03OVy9dtZ73Q8Lgoc348BguLiTB/E4GbWnoLMntqEfK4zuwAloElxUU
W8AZMWQSlnpL+ihi05LY6oVVtLQggp3s4SoGP2XdOEBDJCUZ896LCFNnPfEN97TgddRMhJAQHFIf
7IyePUQY6xDV8CPjqNE2dRaoNJzkhjMawHDJiVrSy3PFVUt7WlelXHuh0hwVwKWGj7opvnl17+/z
aZjFRk5oguXnIPqKp4hMYETgZ7IJzB0674SGr9z8qa8p1SN0mFGXUJuvw8hyoRRxuBkh3Q15Cbxp
whnJOK+uenfjahScRGW9zyWY2IIsa/iauou+6Vms0s1FEERKLafbKHHp64RIVV7UbEX5KyiNmHJq
J29p234aiUnsldutq1BBqR93xtLqjSejgqxZZAayiWJgdpA599ZRh32Ul6xZ9d6lSpr/5mvfdYDA
Seppq4qS6VI3yO5Nc4PJUUsVpZskHL6rfK/VMAS+EinIbmvIj3rPseOn5lVrlEMwgLeAObvNEXHD
2U7HjfDdYqdZWMtowdEH1/P4oanxi90GD6f35N7zQCzJlgkIWWTJRnEySSg8SVSV1WDIXqbKBTDh
cDBy/VeDxAI+gQFKE2ye46CeCJSSw80xu2WYCOKnIq5wATMVwugtEgUgXZA+PE0wWjSOVW6c/ahN
oKS51w6uqW1lxkeXn7XRt096Qh0pCXGfGOH4GQloGYnScDwBqto3QUCqA6jrWQzv9vaPNMfRvaBW
BULPsN2twpcEmjNWxFUOK0N7Mfq++z1lDA+smBDHyXbXqj+YcAXXetSo+5V9fNbt7Ab5gWJjFuub
MEOeGnE2A6/qsKU35TnroAB7avqgbqst1cC0VsymXuqwCLa0m1EPBIZ9QnD0TeZ5eSw8PBKNJYM1
2Rwa1EICooeC+JHE7ml9lCYxECZZ3gmapDA7um2j0Nl26O07nv880JJAqos+JM3IEylMY4WqmBAB
RT2BRJRnF1k0hI5ODk9D7Od7wy8JXgnh8c6lR5KqxoWob1rUU6UXQ7SRdfhesBg+haZ4bV36Lzaa
z6MX5dcqmMSLjlhpOt3TtCOFpHMeuRVax3kTC8kxVyWPGAgqyk35y2eNinAY9dyiE+nHEF6YJWcn
wuX7tygg6sn116nqY29II+c5l85TzIlw9CpnbVbOdFZHFON6AI/ryK+vKOGqq0bqquMqMWP8WrEp
uwpMNpYT/y6cFsB6PnIhq/KzHiXKkSZLvR/GkglJ5tcHA82/GolTQeb9S9CH0b38oVXFNg2y6IWr
s3pKBx9iZLGVAmuzgrKeZHDiQZGBDmdHxWU9RtW2r2IbEUc5bufaglo+WKKIndLlAVgmFIY+/Q/F
LoOd8tn7ggSnliVopIuntOae1pAAX6vOeUiivcgCC8l9WRwwwH0n19UGLVVyRtkFwWE2Vd6g16BU
q8gi0n6Hx4Ealq/py0grCD2TwW4Ik4whSHV3KESQCw0JtaUE7n5L5MeKxYi5Em7xpFQ6znnV3xD1
az1SXMd6jVaPHK9LAp4NwjEKmjavHimx7Gk3JWWzVjvmmUF+YEqhUA2I9SkEweS9plz9NHtlF+Rr
OTIFH3T1pvt8/ZQO5RJxe7Ip7NBcNqklVzoz4i0a3fJgU2Hx+wzJngmwKRY/RAd1OwW1sbGyMt3k
wWvtJf3OdzHE1qnZUlgNzm4a+UsvbutTbBPX7PZNcimjH7jfV4GtJR8ho+lCR76C48c751HdkXyj
hxtDDRmNzAC6Ro+JQ3Sq/m4QwUep440sJhevrHjW8zq/VJAAl5ZUXXD46gr/PXylvk1vbv87pSm/
bn1WF5R8BhBiIAT6KITCn76XSl4dMixj/4+989qRHcmy7K/MD7BAGvWrO+lahYeOFyLUpdbCSH59
L94szKAbaDT6fV4SWcjMWxEujMf22XttrHkqNpp4HvDIFt25LyrhDyb3B0FToRzoWmkz82y56Xce
1tm+dCYqgLv5kdpDbY1c11zI+Dq0M4H8aR555rjQzXKb3L0ftHCVFFKau8G9o3unj4ryJ5u6csvO
cFgby1VHVulpRBk5Zwsq3QljPm1JDGcl1a8JOWO6AOz8krXP//wPMfC5wJK9VmIMe2D27KOiY1hV
Cgne2zB4kbmcPcVC8iHRwuGkd2YHQXQCyt/M9u5v4EJIJijRcqNkVVRuHRV7Y2I5p3pgZSVCpTzJ
KXkldc/vpam3koVVG/WWn421srYrrUGJWuqRmJ74FXD9guC22473N+G8d8wOg61lb8USdbfViYLy
GPFuTMabGXLjDGnMjrTxyk/AhO5Mm0yKzE+DcvTx/G5L3qw1M41GD+QE5HmuP+c8GTZjj4WjDjUL
mmH6Hi7niU31L43jykMI/gV/+jTu8DEqHmOkvYPZ4nOpfqDGWJ7ZGyjbWlJhUy9rxwpEzU66ePaM
CsTeMrEWjMVYYuhy7Xk4IHY5K4X8xaroUsbStjyCUUF84jlcay2eLLugP7Q91ibQnbbCNjcM5M34
nfAkdsPW6RHkwlF7GUquZbX8RsBMIa5M0SaQubPWqsZeGTF2fl10+qmS2rFS5+TKPbniKhCb0K9M
dhEFUNAiDxFcO1N7QtAfMNOjse5MW05PRmIkDyFHVjhNmFrs6VG2Jv+GGjv4yrT1UC3jWaz5wSxO
iAsEjRKFFUlJN07QwCWsiNBMWiSebOoROyy8FNkRr9GReaVT/Vp6auwV5uJLIaE/xoYHCtj60Mko
2kv7QK93HEy9c9SWwxNeYL9Ted/oGV831WQx/NEHCG672dGDjn6XHwfcfKRoI0CRBINWOKjdE0us
QxnCD6GLNVtbI1Jv2yXdocJuwU6Triqni72ZC9epscRrYH2MITRG3qznWDowFeNGroCQ4S6wRu6d
gHE2kSGeB738MkQtL4GzFbkLVNrkAlQFLvOHld/niEDy2GwLs6/eha34Mo8fcyELX+mt7jbTaGnU
ybqEWQceh81cusT5K7hDu06bePeoQuGBI7SLMJKjPT3R2Zt4U5m5HJDZdC0jQOmBJd+pLeaXBCAu
Sn2ncFM6ZcYXXMJ8G/ahx1Ki5rEJKYkNZggV24qOHSzwpdsveMmjznci0iOFBgW/WOhHMBlQQ0Ic
zNlshB6E0WpbwHWFr3Dsp0HenkLMSkfK/cAEvjA61dDtKQc004aKFmsGXKGzKqH6Yy+K/Bmr9Hh0
jVEeJzZFY2vqh16m9bnBsLJ1nfnL1sPiH07S378r6Y07ylR7CWsKDQO9nA+hwV/+/t1I0d88KhNa
UtaebQVh2yJo25n4BBotmNZCYBsDhYRzui/vkvgQm2Te5mKIsCUmLmBEm6ZJNZ21J6qzaAq0ibFD
6jRWUDTGc8P6/m+8rGC9+jgn3xixrrURWO8gQBkJtfdqtPu7nsXV0ZY14XcgJ5Wl2Ec9XUIFYIHW
bTmfxdDJBz35wJZoPnZGujUmd8Bg1qvr/FhWbe9ppYC21P0p4/wtYvLfsn5A1cW9zkN5tjfMtgdW
ZsxfeXyIw/HNUHOOuQh6jOssxIkcwvLijxhD2OQB+PYzNVwg7UP4Pa6k0qt2nGrrRMNT5CbipESc
lMhQn/Cs1wlevRVuij9aZ0IYNPkaN6q1+FU6ajOMl1wb79jzKOdJyu8knvOtFijeJEztYM7mmdJg
YBYd6V3X6L0knrgYOsOxYV10dIOcQjlovbIixmuUTN161xPXcEuAhPpzSO79wJhk0SjbvqCe8nTo
6Hf7xyLbiEtMM98mXozLheIA3Y2zbp31ebuuyNH5+LudTZujnsSSAjHgdOySq6c+c8DAOJwShUoR
La6AeJ0UU7dOezpx2hHBnBJBZEXZUcNJ66ffwsFktVeaD3FsZfhTzX1yxgMZPOttzTKe037tWjhS
YjtDGy2mT6zh9U41D5A4LKiqPGp0ofhxq4pnJ7N/wd7sJM/Nbc7mJe/bGte7E5O6RNOdTZPnwFTu
MFbJncSCUEQIz/Ww06Wq7pT8i6BLuR3K+BohyNLqpgFhay2/teQ27RP7W+7asvHh4fb3UjRXJ4L/
1phKBp8c/ROwxNKyMOhelLoak7bQrvXQnenYmLF8veVIajTu0nBZaXCeRWV3Gxlwy7MxTUxuUfs7
N+vIvcA03YyhS0+inWfnsei/x0RDlwzSvT7Zz7W2gPLtVFmNBphQo8ul31UmgirrSiZpAOmOq525
oDw0gdYcKrN5D3WVCuM2v3Wm2OixDM+to92mPgKuo2aBx0FIkWVIoF4tVPZh7J+4/8FBMuVFMWDE
NnN7/5sn6AztCQdnue9o5L4YBoWATTns5sJ66Qw742ptT6RUlB9T8qTIAcL5yuS6xG0kMT22TmuL
6vITfLHPsKm7I41ti4HU/Cf4/P+JKP8TEQUzCzHS/76/7LHsu+j/rD+bEsf253+iovzzn/6bimI7
kEw01bYsi2QjSff/C0Vx9H/ppu1Yhv5PG9mSOf83GUU3/yVUUzMBIugWpl/7/5FRdPEvcj2EJQn8
A+UjzPm/IaMIXfznjB/GWNtUTdVYAuVEUfT/Gryk5zMtGDvKXYPUzdE42CfuZ08MNw5KzWsjh/ZO
12/NTXoYyPHAvUCWH2ZqmXrTcrZXmqIpQnGC/GLXDwFLO8+dXWZTRTvoZTh6RhQEfjBdpgblb1Dd
7yRZSihn6A0WcRVKjOFfxXELc5eRxAsvTp4lj26q+mpT6M+kTh0Cdrqy0Wbk+dHqfHNK9W2nhlx5
Qm6AWeMAaW+4FbbagF13aQ7DmJkwSGGAZ2e4sbnfHKk8IFVB9k1omq/xgzInRiV00qrYl0EMWWkk
cqYSKdOb0N0WFVyVCRxz0MH0DaV1aY1hAz8ue7S1DGF/0C0yYwSOcPd5daxVRxWisl5LB/IDlRki
Gp9xDUZY13HuK+a2H534WI0CncOV7buijxTNN8BuE9i0ShYbl6BLaH/l83KwZPGDt4Yxpuwmb6Dk
c9umvcmgs0xtlsm2CrpEhkg3YaZ/6bKCiZxguR7X+pas2F7wqTr2XPYPmdS/GrR7KknZe2rh3o41
88mtW8Mv43pfCO7hyI75CRsXS2URwlekcyLgsjJOn/PQnnL9mcIIF2G+1Jjk5V1XKbufM6YmS82c
sz2sMLGx2WJSDDrm8VRpjSvKZL5vWTOv0ghpOAht9Wj2ALitKTtEKB5Lam/0Vbd6pn6m2+j9VCOP
RZBB/8KmIz/rh+AUtA0dRQEXRz2SoJG5ksyl9kqDeX3C/PAylmyldRMA9RSo9l2mNO6A+WBT1C8h
bxQ4tx9YvEjqJyzabec4MF+CviMlHDDVNSE7gljf1Bn1zjX6d50XNxVB+6hbdbwe8dkClLBojEtn
upI786Gx9fTOC+oprrWbZSufKsVlUsK+5isZg3pGUy+MaOmwRy8x56UhprOG2CJmPEG/683AZbMq
9fcq12i+WOsJLNSheFCGiG2C2g7rRgzWK6yOnaR7ZVcQPfNYqlxtK5v8lK0Jn3vKFZx6OueRrdza
4ckK1eoYjfndwbER990jToX5MDURE3EIQRKkndsGOgwNae6YE+0HYoS7SuQhKMNwRya0OZEvgjDQ
wdMAQ7BPsrr3O8dR1+DMmhVux/bYKfMDbsh0N+PIOM4/icIwa8dqywcof7TG7iKyeCI8GPxgwYTk
AfOI97VwVm2IghjVNCtTPBGjstB9RJwSM44YPaUqJFtqVj94oDXlw57cpxqx6UqTXp7U5pY3KpI9
T/fEOSkuWH56GRSi6617SJv0Wc0N0PzucpcorupC8oWJch3FmF2LbXjh/nXktpOwBCOTH4eq6kMe
PfR0y/qu0g5bN6rA35RYNseq31JlEfntyGAiUZjdDvjTEmpuxAt8zzWS0+ixpYovYWijRbpiPWqK
faNm44kjyL4B8v4TtaAy7QLwNgzx0rfyyaJjEXIhsXDf7SGsR6phAfptoHID61hrVn0Zw9g+lZ0b
bDMHT+cUU7PUdz2LT6e/51VNW3BsRcg/U4Eto9d9Jal1b2kP4/URH5rNIiDD57BVo/6npcc6hFO/
VaCH7xKdcFdnNL92PwGw5EbidaoS+TJx8ps3LcYV2SjPOJLEJtZT0HtVCSfLogujxApOa4Vym6Nk
8im2HXycdX8MN3hpdLbGlQanOFYsY1u+sj+NCQUznyaAIvm5xysv7TqioOleF78UivTPDSUp5WhQ
PeGaO5V6Nt8gt6wxgI5Y3juqD/aNJtjiBWQipUlIfhiycQUv34sc2Ov29AvHHZ5ljY7ecC/edG39
mpgI6vHQWB5+EY+o8luTNjXomLAkgjc+F6A2vGnEXdGawSnSCKhItfieHRiHOAk8NKHvXAvZgKbU
6DQJ3UgTje1llvl0D8KQz7StphKc7XXoWxiLCJt0XJjCaSOmmC9lRPvBNLb4vMhpQF5hitRFzapo
3MF43NdOap8MQxlvjhYpK4lLpLHUQ28ThixmDg6dTjd/DGXOMT8alNHmk98qr0YcPk/gT3wW5/pS
xbim++DLHHOKNnWUc1YN+V6f63cRzl90piAXNXtrNIb74meeUvPBUY34Fsaa5rH+Y8q1EmTZBSHG
ShdtKeaIm/hqkjAg6gunvkgNtkejuRoK291oBKLWja5hpIbnlGlLiAPGkz9nLIVV9ewM5nylM7Sg
2q1Qd06RfFGsSYGZZipMo77CSbctCTOsbOAxYWsWF1rba4w3+QwBK8n93AIEbNMmyiM7wcQcTR1U
euQo25h2bmqk61lvXvXOinaii7WVVsSoSRKVPerWI66c/TynIB+sGZyqOfIp4QOW1YID1m7dfVnd
LIuilDFXdvlY+7QtzRChjZ/JtqPznET6in42Dp/uD2qy9lS0O7XM3zRbVvd8CF+h4X4XxKD9ueMz
k08xfhSzvdKPsizfEhJqgaIctL55d6y03oE7lp5b0eYRmEmyJldqYQSb80dNdNRI4jGIOb83tRmI
W8AvoDeO9uBalp+Q4XsDEp2MbbBzBA1vwtYoIylokKJtBil3MB6deHzA6R69DQKyK77WVZX05hOg
xWeOpRXg5+6VtrOfCBFubaUpDQQxdWIuE8watp+6SyGMeClZ50djKQIF2Nx5tcqZp9a0/iTkd99G
a/oQU9ddtLgwPDc5cQc3Pgc1JLdgy4DUt3Zx6hjWVyQxRlqd/WlGzltQBZ+ROsu9auTGU9HTtYbR
3j5FDWHowW5eBwO8cYfMunGcOrybFujShuagHYq85nexYqwxbqWscMe7kQ/DWR+awhOzUu2scBfO
QfSLVoZ2ZTXJI8vtfjs4EAuCXjevOF6x/xulRbReRDu9ZjeaSuNPGSYcjdlJiuk3ctSTHdm0Yoy0
25iqtpnpL91SpD6t0xhNvJk0zLPazDe/705WcU9zpLI6Io46uc2TCyINV7s+fI8UKiEU3WMH5Ecd
qO2+Qo3IynIJduN3b+Nq33d6v7ECTNV61oRHthyfgFUpM6qdnjfFxDit1Qj2cfRkJbdlzhryeSOy
APR5BMUUm8kzz96N1YTpHgRH7/Wqee+r9ibkPigb5wOTI608WN5pqwKSG5VzcWbPCY0EoxDpO2Nt
xMGv4OHPMp1ixqrQZ0rAeKHI7yd+SuMGEQZUGGoI/1BVZnoQCK1dXqg3B0vT3L4akppJvXffA1HF
byry8xoKPw+4BGlzNuUGf+zaCssXEBKtV4QVpY8KpW1tTjvaSBXqe3AjingObDn+hsRoIiBw71Or
P+It+oInUd4LfdhPRn/mPOIEcagUzIz6ZEknvmp8LNG9ZLe15Jsp4T8DiQjXbFVoZZq15jfoeB/t
NrauzmAc5yhXfFX5owc9i6glC5uoSbmG/SPR6VjIavZS2KsYcpXBa10XMw6phY5EMOTF6Y0Dc1zk
oeOq1zJQor0m05/Kgb/USm3alcH4WpetX1fEx9ihu+9s5c9BzY+f2La6wxe/GmPjBb9Rh4wv/sic
yjvmHhz4CzWVcvNiwzXhRy/o+rNEf6RiSqwoos1XQsSsmGhY4OpB7XE55B7xkv7w9z/Eg94fIgPJ
HF5FvmJCf6ykggGYYuQVd6wkm4+tGr0UammvjWH8ASDfUw6NZSWrsWBLJ3ixVPQSBo8BnC8A8b9/
4XzeR2r1gEUGeHKGbyWKIcXxiROJdSk18uoMYGdwQaEfLCHMv90Uf/8i3Xg8xIN810ogKkZM7wTZ
aZfvhkFvQuMPVikPaciuPhvYJs8htUfEJUhB2B1qUBOB0A2WuHhaVdCwKqgmmBE2fVdf8BuwPGaN
tY4wHdOrCVdHtv0xtHtYN5HRcuOk1lhX++kgnAwaGbOlj9dwGZutr64eKURCYFqTeYhXQ9A91SNc
45bwwBqkwyYUtGXlkz14mFwfahNuPVlpZ894Mtf2vRx6346+rBQjYvcTDW7I/SG55mZvrjtKp4lp
tMdyzMJ9oJjGaRwOUxGrWzpk3H1YGdFZo7BvU6SUK5tOcnVsiBFJlPghy3sCCLZ7ppXzpYxKpPTU
iO+U32y1GqdW7zIgRynWldzeVmb966qR+qgkYBEkpRx+VmDfTXHDeeze3hX6mOj+wyaQhs5bIeIa
wDeaq2tCf+YrCeklOiRoiZ3UO2Rfeg+V0HknP7+bmiHaqQXVAJn9Dkt821XayZbRV2S6QDVy41Vp
zthvV3VHT0RQgx3DDUYRWzBf+2567ygPm9V2pUoyMU6t6HRJ05q1nGyRCg+dzA8Xk2NaJAcDGZJA
fLB4gzPhwaKatpJbcRMNw64YXYmqLrbt5ASHgGcWtbcm4y53QKI0CdmQulpnkaVswlG9Eqq3D4F5
IhZiHPS+/hwS1mV9bN6VFnu0q5IXJoiMfTd6SaXzaY2YlqGaFH36GuiVdXC7/KCNODYsQPwM9n//
oHKGtFNX6a4OYCu3FQ+OSmf9o1LrZs+vIszFMSj5Hkdwivx6QGyVZZWuzeXj16e55BaEfBC52TFw
6ToPGgT5PJ+2E+66rKbWrJFutsWXdB0kPbUkrffulNe+vUDFUbbtQzsgFtNOO3iUr7YeJSGPHDwP
ca8z4+QMkfihYm9ouI74upyDlcyvsZE22CNZgV/J4Gn7qgWv1tdheGzMMACI8MNKBqeSa+OY63uF
S2BzcUbiPHFqj96Ujyw5lxcyxxfMrcd54mZlHozF7EBTknlwo17fmvx5VQVi2ghx86iaktPTzGvh
9vLRmPP3zOqw1sSUPUlcJaXCHMUs84RtKN8Vri03aliRTojCb6ahhrk+JGYRmVtVmM9yDJaeTuWO
lZCOwrvmaIvzWaarwcZP5GQXde5mP5wrevHU9kW1sKQrVnQO7eyHRKO2ovcKt5S6VVRmZZFmPfeD
iFJaI124IBhKBkrIVDV4tqmN83pt+pXFe1uP+aMQv9bsvuRjHG4Ezgs5sPdIez1dkWQQ2yy65hNb
eWHZQGGUct9TghREo3ZM7O5Lq7VdETEyzcLeEii+JaH2AT+7LXpzDx77vUMDPJROtyKKYK+6ntJr
sO4zvS604Ol0QGifLooErrVu27WT6YfsyVbNVFPWKn4rpXbPlx6V90OglDntmjwNyRqUsdAJj1YL
QBy0x7CqRQfVZ1JX0RQCh+hIBqS6vOIJi1jLJGJjssUb4zw5CUb9dde0oa9moLSHtsIm7ZukjI2J
DrDJ1H7kSH9DRnJ106CM8Lm0joFCe2ecOIOPkR9TJP9WYpbPatUl/mxRrZibswd5xVwTZaWED7ax
rxhhdMVHKdBpZOoNvSCHRj0S5utSZwU/tVjRaLfiY71rstGv5uyWFvQnjOVvzV2Xtu5wF9tUTSrZ
eK2eI2IQcmT5ADXHVQysoVF2a90MElX8ISKF7l4zIwI+p1szJ5DRcaCVSCGzuPC93iRTdSBt/lt1
fBww8hyNoJ7WZiOpJhhGvldY98XkzdROrYyq+FRxVdW19VirCdSyDKhLANtBGMDESNB/0iq1G3Se
cq7eXgTPEtD+ysrG1krA52zbJs+FkpkFODrVL6vY+HGS6Afd0I3oDgjz3k91nTeoeUut9F1aCzd7
bzS8c8sSwiAvYwbmQxTyCzdD9lkCHBvGxWSLqQnznAddc293wS5Uix+HVRX9EIVPkeshoKlaZSuD
QYUO+1zFHzl06t7ogurEpeqoJsqtKoMVas81bJKneKgeIUMtrfAujCxehdYi0up1YfVQxMOvJSAu
tZr1Gg7jpbR4cZAo6Fi9IzAdYqF8xQFOfCMz4B4nB9UhCGtwzIe4pAPVb7U633CoKSvd0G9NZ7Vr
d+TEHYyIqfV1dpvvWRq/lHo954blz+HoJ458aQNr5xbjd4yb19Oa6azE+pcy1o8zMdQhiX8GVbvb
s/RUd9jPafE+ZBrYiRL9yEypyOqzz1EBsOjK8Uej7R6jJV8f3gcuKhfcozyGen1PXrOkukh7Jhm7
n6p0H4K4dwGmNFX3Xtbmk+QWIMtkk3GYU4q5awcMraSXWX5vc7j9EQUg/LK7aFXixUrx8q/Sip52
EDw/Dhwd1FF8rzYGjr7Llqg2P2PQ3m1uISTQ+EeOUnuZaD2ct8ShrVu0N/IfGspWStOc9UbyYFVT
StYl67oMK1bZ1V+dMI6BOe0xMSOrjMXLCCCZi5TbYkpOsNmie5bZ72TsC4WdsZkttxsnxz6xhaz2
A7Ht3RhMaqw05seycHyrKq71XOGFuWV0qCj1S8HvXqbdzeUzReFPXscexnxI5JI3NsWtZ2L6DwW/
APFVComWoHSs+5Ztl6zOqBSpm7ZdNT2zdWTi/oq4BQWJ8ZLqz2nqHFwT/aPkP5/RoLtCwVLejH8q
klLrKqUwEhc/tLL5PXJyCmMDYm96QqkffZe8odEferAunWlPfD3dfe/0viDd6+lRQRtJ+Tuhg1lF
5dMwpG+L3lF2Vn+v59zY48yO0DiI1RJRNeTyjvT31h2zdeYMwb5zKQ+HJ8OtPKMFOsDJEMfXfAgY
TBFzijoGn6Zw9GqmRtcR6SfYSPpei4ZmPQfjF+ViH0UNNDeOjnYUYxIOEFW0HGPS1BwUxNNjxmoi
2hlVPWwHDFPcFUOP9h5Q1yQj10bFt07pBaZ7KDOzyxPPabljNlEPt3Ji1dwG5XRS+FqJrHbIKdVo
spq5bu3K2BsaBpWRdkkWuYSViuTTikK5H9UaLJi7YOqWve+YqmtAtTiYYtOiwGurj85qFgoAADNH
4LcPeewwA0Ex7QfzOdR4lSVuNO2zyL7rYNCfoaLsi4bWHbFQEdsJo8xsm3KfEH7cZKEKICprNlo/
NDi4BTOGhi6pG35UMGkVhPg2rYjvcwJeQ3GNDo874mcdD9zUQ8UHUkYhjVntmqHpL+Z17r/VSjfW
ciaAX3M+Gzj+NkKZKEYfhqdJqGSPlTspL2xWNpKEaruRH4FvSgtKUIQGqTQjNRxX6bjluWjsxNjj
cerS1nNNu6Iap3iZUOGaMHyq3MxcQdp5JROI+gTXbODQcrVabGPLvam18QTQPcXcFsVnC6rUKg4z
Hd+xea/apNmDkePakg5fTRQ+dRaFPEYbcu6E6KqstanZaR8dKok4DVzbA1lcExfF4twRFwX/s7hg
K54QoNrnTTPz7QRFjxfYUJlFdID5RtFi7mNam8KaT0qgnhp3HvyQbta0A2woHOcPfpB8XXBWWbTM
+ENt7aKarFGcvMLWqm4G3hGt4WPYFaHf05/tq3nnR0O5pu3+hQG3waNmpweBJsIEkn33pSJWpXgG
GlcD5OASZrq5flXD+aPFyc3nWi8vA8HpPKuf88BuN7qJD8mcMi55svKUPPiseoLuUiOHMujugCqV
bUXGH0vq2fDq4QW1v2fT/5u002HU8x/ZLV3BOLFnBbOwVVznEP4kUPIaU9IqGea3ok1jHB7F42jz
Q6kP2KM5eVD1G1MyD38IW9LhgoThalL1KxNBIUz5DuBZxDMNcRkcYkUW0uglL3WIM7qZQCCr8SYx
imynje1Oo7ARwxYtQh179ClYt81jgKQTjxzcdsIFTsVXkoPkVAL7sdWDK2MB0j/IAWTMlBZK3Vsc
dm4rJHdNCo5d0PYee4j71BipRxo0XrVq9hnxL6dGSODgh3D62VZBcgKOztncVXdKjDU3Yfg2tjku
YsykH43s+MRm7ybjrjWOpziiLHFEd1eodTYtm+i3PtzS5W6gzz7jzLnLX62RzWGUWsxcav07U+fn
Rjm3FOQufZuqcCtG+cp20c9b3WuEfVDcnoLEajWYxq8zZo2nVvwpkpQnn71Y/9SD1se885NrHo6K
hxIG4loT1ZrUy0moi80w6Px8sB4ac4GQpWs3xE5shdQBth+tnfoN/himPAMzDCSCkd5Yi3Baw611
pWrZ09B3b3RIHZY/qzHTc1EaRybWbUcHPK1PbCy4bI0HeqOYrQiixsUxzK+gad5cMd2kat1dCG9d
sLXm4U0IGzA5D4/MExBazSTwWnNxEHL6kMUotMXhht+ayaQpTT/jkIK0xkhM2oqWDK46MI71iqMy
zrVHZ5qfKGN8w3m6pkXUG6nKzq3qqMvyGagMr5rHtxRaV+P37EOa0b2asr8u71evIOgSf+f/8oLJ
Ry2th6BrP2SFqjUn2HktbHCrUeJqMfCnw2iSckdeKFmJrOHRkvNkJLOF8xDQyTjVD1bWv4K+4eVu
eQKIu7BwXnbYcSxSZUnjNzqMvKp4T0ydqrykfmjdh0KzLvUU7Rvco1aUYX9bjPK1+RITPbFM9RD0
xbluen1VpcrTWJADcuVDkqBUEWpjWRM1yTbLkpdRGX/YKtLshBm16sKb3qd31aEEs8qG3dg1RyNj
b9AqBsYdbJfVYFxrEW6SPvopMxauUV05yGQvaM8RJ2ED0EpQ7map4mpdAqAQCrbDaRAepWW+OyQ7
1Q23hRS7kltyPsMOKNChbqE1+h2fEYUoVWxo2ziJ9n0SPYmEwVvRN3M3bdO22gWBssHHBw2FrUsF
D6wa2SppXuBQwJmZ/WOACAzkZcWxux2Nkr2Nq55EGft5XDwuH/xOST7LDNWDZ1o5kPAsSdXVXqPb
b1kaHRvFvWSAV4C9P7Nof5Np6SXmeOSGzXFVq+B6HXOlTtQ3k6wZ8/Zh4iu/0uCPrEpatddSK46M
HpiJjb1Qm23eahhogyeB+lAxv5S5uIxxfCmS6pP19Xs7OjsSJhQxi3xry++C6vCCtaehzNBiCk/h
RAVbs3CTfvrceJ6E89xG6O6IET9FZz1NqeUrithbXf3CHvNjZlbsgw/VDB6Muf2T1tFzUaSb1Ewf
2Dnv5ZLRnli04q9wiwTc8lYp6yfaNjyWVJvYzb6Eyh7Y0h9hD/mx2X8jw+xAxU99+tko6r3J2ndi
exulqE59lLyJSr7LDh5TaOgwA2wySvltZgWrl+y+Q0EFY8oDCKu/k7uHyE48njF7xwqfBd57jK+e
7jg//KyrWkbrqG22Zf6sskmzeH7WWn5Lxif2S7/B5FzqUFzaLP0g1LYK7WSXReEJGtPFsfCcKMV5
1o1jo1e/8ZBSHjIcTaV/0/lSWRYbqEnLaZon/ao+ZG38Dq3lkDUCPY8Lbs9hwhfsFbLsyYxj8C7x
qrLrFfHqC3nInT6wTFE7edXn6ipFQ8eYTm5QQ37meemEhzZIT70mnxCXHhueKauZjUipZViTZ4pU
+GhzelL2AauEr2cubn3F/elemJLmaPrRkSKtvjta5XL7aho/O6izfSVFB63PxPziku+giI1aGpHf
gvCmBc0mAiy9itGvOGcUpJK2ydZBgWgFXzPI9Qn3RLUpm4Zu7qsxwEToCtiZDhhYMgOlqa+6svY7
tbrSJuf39qOeyL056ZgTUPhD8WZOhb7NRyQgnNW2tagxxITA2FznwaAGUtzoNPrSR6i0TbWN8vkU
sEUFkUP1YPuR9/G9zJ9owwtWum2/Ts5HAA5sNMfvUqnYpGji0rXpncD6PD5Lrf6U/WZo2pNs27fI
mN4BzPjkOolC85Wj5jsz2u57EvHZQAVnLbKtVJJDimCc0ptyP3YC3ma4S20bk33HZgNfTIxRQrpo
cTnL6JTscjRvg5QZiRPDt7CpzrLKV/Zo2Ss8N8LvNfqRGbPWlG3AlQu9wdae2W6dXdIruAMO3HF2
sZG9GANfezmH/OnzUUV+qPR2V2gNHz+EJ9O4MfP+TvzzQHN81/0P9s6rqXU2XdO/SLuUw6miIzYY
Y+BEBSwv5RytXz+X+Lqme++qqak5n6puvgUYW3r1hifc4eHP0klvitcqx2ZXeZ4XyLdTe9E1zbcI
I+gOUC6PnaqGM5HWviBAzu81yESS+nf93OyhP4uKtY+b+BhL1IVbGajO+oGFKl2MAg+sFUs+R8OL
FZc70o5NGCdXuYCLOFZvBvDj5YikEITvGZhlF49Brpl7Iab/vL5oLprbYESke8ld7mKIo4X+Wsn1
88pbXc1A4eOUFxNIiYr6UVagGdWFK8lOexGXhZMcmWsSOBvNdSrDc0cbcXlTFnzWtc6vhS7oErzt
VIoiSOHBKOW0QSubAnOXCcdJKiobgVJUZKZNa4wnC+IYTj/bEJYD4jzHRwT5PO6DdFG26vs4UMR+
vI5L4s7JY2Oaw0lNPqK1lDlV93TC7ZzagF7SA41FAMfGd2NdadFsojC/h6p5ROk5dR56szXF7msJ
9Rd8p7xpQIK1pIIzKLhW08oRuhxpHrbIusgCSnjO8DA+S7pprkaHPM+rnZQh5gSGS/XgBkhwRyFf
GLRVnbQvgC4AG6ADVTqqQgVgLuSPdctEhPtdLxrU8wrEpgQofCYsWQTaGpw+kC1hewQ1cdQe8aYn
ngBk/I9hxP+Hf/5f4J/sbCKYy/8z/HObA/usku4/gZ//+qN/AT9N479US1cUw7TE/4R9WtJ/aaKu
gR0WTf3Xk+5/wz5Vef0VP1dReeEKVBz0/mWIp+CtR0EFizVLl3/f8f8F9qmZ0n/3qtFUU5INxdJE
POdWcx2Lj/pP07lET1SqCXSK1OHaVUgpPYCg4Q2NJ9f7g/jSQUAQBHQCeaMxYCC3Ik1Us0HxUc2S
P/pc/11gE20gWjbQ7pPWgwvvTIl1xl4auc68s1BjotMgWLtHrRYHU+6Ic5MBUxQ6C1KqvQEsM6Wf
SJmMy9xoB5x5YNzTeXmZugW3X7aq1SYiPGu4AFizHAdFk/e+3pDttyh0bpCaH32lox2Qv9OYabYT
lryokBzmHOxo2dJcm9IbzXvZzcwIp+W8zlyUYsHWk4cJLV6SUoxMkVBr2qFL8zeTLuWeGo9Rluxx
0Wbq5dQroea/T2S+AwWVR1m2Z7TIUS+FpmIYy7YIe7AtdB+cdN3LIxxFp3yQD73YKee+NMOnmtbI
EpJya48RNFpCicJK2xsibCpAKCpzpRKLgVIT6w+akmyB/XmLkVIMCpun3y+9LqP33IAyEluugdGg
he0/BqkifLLoHwqp4hWpIgRm2Ur0/VHHsJASQM4sgLu4BJo07ev1aMf7yWukJfQsXas8A9EzW7Ug
DSIhtzKhUm5wgeOtPu4tDjmipaAJ2Am+YeZVoFfzSZ37h5MjKIXeJkWUfDTslDh2HqveaUYBxaZU
DWCWo1+SKtaOJkGYRB6nj+HVdfdasAMioVLuVQyLV3GH3MdlFS/qqQp3i3UypR1+csqVFuMA+jRP
0HjQN2lFXbDpF5MnKIACSIsbSTAuB/HoVlG9nwXjXQylfTZ16jPwRjJfsPz2WIXKWZfD0S4NogkN
8GgJyUIe8GhILCNB1rEQ/3ETVSgcO7per/mi0B0zSIK9opOHDIrbzwlU1KEvDuWs5/984dbYcvPL
mOSHDJW2vGsRrovqUySXH2HYudUc0qKVV9Ix1UDQq7hjN2ayMclPPCWmNFLKWJhUI7mb0YkmtGw0
Nsj75ixrjtFa7dZbR46X/kQf06bWlxwzpAu7iAalPKA52AvTa2M8oie0d7ZCBgKKyoz5nZW9q5fp
oaj1Dn+s+uGiZBB5kG8RhthiCJ3edTM+lqH0rcbkvmEIi0+AWXqCEnoWGryZK5yt3UUc6B+LCEQM
OgRzcX4CAG0h2Jw8Sx3aVPOgE2v20o9ZRAV5h4i1hxYeaY5vBHieriEMD1exKIsuKtpW+xUZpxKA
TWGOYiMAEU68JQNUxfmpphzyDwhrtAGxTM5jEykvbBbojTkk1ERkO+RfvWWRf9CXfq2GXvAtEd3K
pYW5/6jNG9p8YDOqEE49Pnd0XhZbbZYb6iUkjGXUApKsziJ6HUhjN+5cJZaDWhryJioFboBgAaIq
u1n2GszKKZP74ZwQfhDpQw6Bw7KgSPeYrmPF8bq0NSXPjlvUk9Yx5cnVZaV2DWn6lpXqTc5xayia
fqM1hPMhjCFkSGa643PTPUVIKCrF89wAf6ZjrWoqQM6MdmBTkTDEJoXED4Net3/XC/hUk/ynFHCB
SCkCnPu+POUzAjZZ17w/zCX1qGIn4HzwcyecgE8Khc5Gch8635B6CPosZxr9f5toujS63WRQ4Gg7
r/6iaMKFIDhwDdxnTZtuByX+zmfkpqhnfrd5Q0kZHLvcT3/xdiS7yaqfPq9J+dtQZOeddwO7pksw
h3FFs+LzkjIYLNS0YHGdI6AygB4k1Y5Ccuj874j7tt2qD5zlJFAMS9Wey2XB7RE6sfUKpBOemLbc
LFWQqCOE7qOVNw3z7dENT3rdXZO8+Szn5NzlIamPTsyuC2h91wvmk6E5fBY4p+zQasLzRwZKPSJO
PiJR4plyiOFX5CRzCTJmZTaXI4nYwyGxR3in/lPe4yk601WcdyjTPum9xkKelX1amBhCzNu4kIFO
PZQgjTUZqNwIOLQWo8D4jRNN5SaH+Weeh4ljRA/0bMRtPT0+HrUCvG9U3lESkHERSG6ziMJIPCCn
+16L6CI37aplAbkVgh1s4ibByUVDsiGp0n04hBPYXvo6oPISW+mWy1KOfwecR0JsEpQwfCYtVG0B
v5dY/lstILX6yTI3dGahP3eR4en5ssP1FYMO811GFPNQGavAWqVZ/hxXtFTQphGtJ7Mn6dGx9kO8
hMJx3f5ZTBVV0pQqUs9n2f3gwQyhm5iYX0mSHEeJxqAUzugL1voVtbOLPHGyhml/V7V2b7ap8KQY
go+l6SmiL9lgilOX7NxpooXYnSybqWwjV5bN0M9R4FyEnt+xPuqsGLfZg4tM/iad9qUOJKpxol7p
ckMqBHVVWKO87QoaL9Z7Kqov1MPV40CD2B4f2I4LyYWtx+x4907HpWTi3OjzeV9ay/VhVFiAz2Bp
H/rJAhqCmx2AKGRwybhMTiAwd5lHa80BYwXg6PHRwMRz6+yBTYQsIWO84PqtSJ+EEYAB0puRpDyz
llOtbAyYAYb8UYQj3Hqg3bZIGm0ZHByGhpQZgmrbRFrFmdY9fBoeV4gukgu/BPb/H5bqskUoiLNY
BSrII34U8opcNQKrncrN3FUu0dJes6gNg3e4T0q+tRpQvUMy0tDUxXekOF9E6tz4Oag/DcZMjQLv
QCehHwoNvySiKBC38X4wUFZadAMqI41rrXWkGP0XVQS+DBc/V9i6Uuk+FByltb6a1TiKFHt1gpeG
OhhO3BTfspWfek05wsj5lnvtM+re5jHcy4kUYBvuaSpTdjBfw2yDUNx1xAPJG6wUWQIjgBQOKKH3
M+KPJSuORluiF9Z+LYj+AMk4W7n6IjXRUTarP0h2bzuAwnIv7cxH6gxafZMeJi0+ppjYIJmFAAWz
0Yf/HdNUU8ZgIU7fJyW6J8PfPu6GoOoo06AfSzkpr36Azz6yH2VYgjiD5ylFxntXhkfYl390Q5bx
ZzPuaFbX0ygcUTIBtZquLXfN+kghpgI1Y8Rw2qnbGjKGJsA5NsvzA3qhQx/gMynrPQq0Ayi//hjV
sHJM5MwcRqmiNC6fYgV7A0I/Jix90+/Fyv1FX56NNvqOxv6qp8LOXONK4Le78o+qRGdNYlonHcIS
cXKCL2RzT60fUaVYUll1pE7YVuzglQAVSIh9+LZCnZ0X1ECKMvQEE1LmA31DD+4BFe5p2WsdfCXQ
G7YUiVe42OS9BVvLXIivA9K6jalvkZgEnjTflgLDQYJTAMgzym+GIW/mWMauUNckJ+mtgN4EIFX4
uA40A54qmYBdVzrxLSwRqVy1z2PpllMXDcJR8hpL/ZmzMehV+dPKIHBGwrcRm4gVU3ekLO3A7kck
dtHcXFG3IxJTdleZmyW7yJkAE0XXXqW2rJ0JUZ1w7I5yl0pBn/P4R73dUPzcthkbnZqUDz9BtAp6
GxCIGuMUGi0JGjNRwJTBoBERXzsW03YHkRs3nmZanYbWf2rmYFGAQFgGtCjCHZEAQvH3N7/fJw3O
jyYaB//87N+/oIMai87v9//+8vsn//7WkJEvkB7J5n/8/D8+/vfFvxf2P16TZelekYcSuiwaZd7v
6zhhUVL9/Sf7Pu6+//4o1C43oG4gTHWgxavhUhlZ7f++8e8X/GTb3b+//f2XXnX/+bMBMscOfR8t
DB8wVMyv4vczfl+l/veX/vMzdScSp5Im42TQoXu3G9YvuJehS5iEsYstG2Zhvz/8fc3vF0St8a7T
28LpKBjhGOb8j7//97djRjN6QNjKaXLiCPvfv8EJPQsaRgh7wHI3r94HcTMTJZeJ6f7+zBhnBOlQ
ukNhNAn97tE9z0rWIHKX1NUuLmbqZr//HIToXK5yUUNAPfkgHPEb4LSCFU4+kaZXJPN1eO126HFS
4zDlzB8w4S+VPZ7glUzOuCdyiWzQLAFYtvq23IhI5dSufqgUe7R5iaR3Cag4ALTFxcRYN0j1nUEW
5CR2ck9P1hMifMttQArPeM5fzbMyL/YPSnYyjZwHMhR24aDgv+J3XThKw531S64y0JWunOKz7Z0E
ahONmk3yNbHxFDR4Az0o4GMDkCqC/gcweQa+Akdu1a1GPM8Q97FjjhZX+e6OYeV0ThcoN7YSGrg+
SLrOgdzyVr9mexpUEpjowqWdIeeucMHAYeBIO+aB2fsShfZdLIEygeLp6bjFFpFzzk/meWG3gGYZ
9IMvSmDXSGaB1e2qlwjYGuIudpsf+KodyhiwyxLDVXxHRHcWoYM97Fk48lUCMSvY3X0Er6APvsnb
jPOWvEff4cEZ5FAPhA1lcFJWJLYASrXZjn2UbnsmbBSgIxVhHeXxjFPdUV9DJGRe55dUvApf567y
EUZeNhpeUvv8UnyyQednSGmbyskv5aV5jh0E2P0wR97IjTZosBPk2oZdfFn+u2GdHg4cPCekMyIg
r+MXA8zHXS9CLQOmK/tUNkEOkWK6deGmX6pdblrv8Y5vmvdDYhodrGM/uY/3EqzbJ+zIQwTE5vk2
O/Ipt5MDZLt5h34duYvikh4CAHPOMB/ajemeM2fkx0DW1q9V6uKdfQ7/mFvYgG6/UT/CV3MLUCjQ
z2AWtnR9vvnvxFxrb/o2/06uUhOEf4TB729q6jJVwzPcFhsyjr0OgLKhxFt8xo4c7oBY6e5dPJe3
wtHPnIpAGfWt4M12RTLqJp/hx491Nc/mWRw9DdiJN1OEjXYWFBPZlrUzRSQjtA1aD25uB/jQGJGN
HeC1uSPEJDi+mLmK+1k9naKXd82eJZeWxN6A4nMCWISmo6shUeNUcNBCBERsk0a5AzAK3Lv0gmZc
cg0P2tNdeXnBBUBw7kg8t9+ATg26cKfEwykMft5wfU1dlKik/WLTB1pjkec5DvKPVoFUjOKUQzWn
gyPqZSPJkXCPnsvTw+sP9QmY9rLJrhNyNfuEHSdY9gmmKNw9KoZ7LLe21bWnmPQpIU78r59S0PAj
NM28EdhG+TJUrAC/oWsM8ceOdtifNlfeNz01QYPIgs1cdvoNjNkSuKlTv3UHMhTZelMD6izUepzl
h8n2c0wPs9+6oy9rdvI0HNtTf+kRJkoeJ/M4q8zxt2Qzbxsn9u/qtt0AKcstN4F94P0zU+6ZEwDI
J0e1jYfb3n6yoN0IjvlKzYfzG+GyLuVSQDHRu4PecRSeQoSK7dlm8lCebmweJrNsL6QO/GAGs7tv
JX49XYHu4ghQnuqSPtDWoMaxi4q9uNN+aKQjX7hdnumawCzWWcmbudkmT/EZs0D0+KvjbEefFElS
Z7klHl1ZH091L9vRGUp25DnVMwETI1cFdI7H4tmfoHx8p0QpnnhctnG89yH9tLJbPH3C9JKfh78Y
KTAqreAPztJs9NjRsS+1GLXKcpqv7il5wXdzYPW6U/sp/8km8AdvRLqUshoUdwPqkwuADGgysl/r
wbwcBMmxYED90SC59Mem91VUS+zP1dbBMf8m4ilV7G906nUHOSDhSWt8LItdCCMDeh/8ZIzh2GzB
A1OJogmOSaGNdkftFvcqaAWH2Er5nu6Ijy+0lJCgAHbggc88MlmqgFHxop3GbLrG78PzFIzGidFZ
9hijoL5tt9+mS3ec3EhGkcxEC59CwjrT48dBHT+qo8Qjwlv3HVvGUgtQEaLmtWMVQqWZ7Xw5sEYS
TyxflE0XDFeJpucOX5Je9oSXlHqN5IPQomnG64tgwa2VRz/dU5fwaj0xLso3hyVHIPiEfe5GbA5T
tK0+W/ZhjW8ZgyaInhMOen/+fhCpiu5cu5R/2KCd9dlTqqm+it1izxsJWtYfxSVZWvRj7I8bdZ17
SFYLw1sRjIhyZB40e1yEXihc5q+fHafgV/ScXxZW1AuXKN7bCze83vSRrWcOt0m8Yb1tU9MOt50/
Re7yBDbU/uf/AOaW78hG9s/zu+ssusBLFpc665OLAkf4XJ6ra3VFaChWgWbYjEQJhAvhxMxDuTz/
EQeMJe6LetIIdoPU5wpwHUSVnwC8qxwRV0ib5nIqBAiKT9fizsnANnJDiEUSHM7zKXLqE/Oc4w2p
dBvFAy/aMK3SP+ZfHfSXTKrJGeUzhTrWShNwQPmcpNwgGOZn6bv0O5VRQb7xjgsa23lu/Rh0L2Xo
7/YIKCu9gPNdtFOy26ocRL6fAXXDPhSnHL0J3AKhXSdcEHV9SiPau3T8npdtctcGuGodTCvjqTZy
5LLeYhhwbJbB8pS9knh/9zfxykK9xy6eGtFO2TefqYs20YkIhdogxiLat7GfFhshID/aD1/6rt6y
DN6jr/BT2CtbhJx8waUAQPPV54jdVd25QbSTUO8sf0X7hECHCogTGt7vxuSyOQG+8dvYyd/OvQ0h
jOGR7dYan3g43dWUAobQeXjrQ6Rby/2m7us6TZtgpGpk13sTqnLqsTt2/gxn9LHNv1CrX9jrIsam
C8zUZeWjM78X2AtJGgCr5iPh0FJ9lsRwmCSgiQe4tjjTI98j+ucKmZPlrh4ecPeTFV8qNsZwMcyg
ni4xpV/cggD1biMerY6frbpPEx8fa8dw7oFJS2+zd8UAGOJBuCDu8mjRGPV6y4adyCNfZQPs4bM9
YWdsneuN4QUYrDqqG/q9rTvM8hfFTcAsedPzfAqnU9R8485d/DTCa5tjXPJHIZuUFeso7KHn7mgv
CknnGiAChnq3NLCs39KletId5nKxMb9QtUWGcg6EDbROpMDXeK92e6mzw+VVrXNPBMmLuhGZmzMb
F0qcsKlLzVa9TAiE8kd+RXOXhvvKZWxWGXI0HcNjuLHGT9WlkgAQY8e2I21yvzwhK4xPwzd7G+cJ
gTTifTZbG8t/4MkVz6gGYO5BuNIAIw6gSLCzEKiy8E7sPLE9xbvh3jjNFRVgyalrNg7ofCCPaQKx
ebx0qqu9NDoCEux8uwemx6P3s+xH+vghugP0Yl1JC2DKZpSS5avC0ua4AnlIxN2XzzIe6057WRAI
99W7eoeICqn2PgWKSRjxUZ9Y58Yt8/qtCEEKYLCHYMqD61lsqit28SKBu50cNMkoErf9jlJJ1lKB
tmdK0JGrQztdnKrzE3YxVvxkC45+GYY13pGnvUYvgkpQBTF4C8HFlufdrJ4oqSzYFSW+8BKmqL07
NCs+jfcQRSD8cLDvogT8B+3Vf8aDvQ9V+yHzVK454Eyoqy2jjYAfice+S7f1hdCF8qM4bRsVwjcD
hxoLzxLpM3KMt2yXpj7rGY4EjSfO3ld12mjRQTOJiPXjY4clzwCT41DhIL1HShMwr+X3za7I97GI
PPshBUxVup+J6AgSMqbeiNJjsOLmbc7p5T0tnOGpPT+u1eRNsi9WL2PjNTTQM5eiinjtEjTg7IEr
0AnSsLQ6Kt3lIbyF84eZYLu2bi6oJBSfPViZ1L7BErcJwQHoA1R4WU5zYiP+gkMMxO9b8kBD7kSA
uuwLrGFxpDhRaDRQcNsuMLeC1AV21BzDdfSYSqD7LkL2SlNn90BJALTLd8dJMJ1zHxwYcNWOJGxw
ScykzQiCuXjW492MZ0L4iqpyyW5QOaU703RD6oPdDHAOqnRd9d1aio03NhypXDkP0olwhvOxr3ds
dtPdvE8zhCJvbN304Vu4y6g+ul/Ew68xfjOx4NdYnYSOiCYpQ3OiSRuNAdq0JlZSKCS2EBARxdgY
xb5BMA+84vCXPGFin71QC1FR7SnBUtj06BCLmzSK326ZgvcM8swPLe8hHMqOSN7rsESJgtM6/TbW
qaQbhtJ7AUnQ1X7q+CXdlsZG8nVpV6cHFBXXIIxzBCNRp3o8R42fxwfK0aVF3nrI4PeEHSZNj5ci
Q2eAhERoAP6NDjEi/0vz555m5pUHsHwTDSbQvXYZfmpMhjOAisfgQjMYQcxl+5h9UP0yjXMr+s2q
+mXjplqr39MnWErruxbAnpLvcCrJmnPH+FKpvAdai2fN02l+HVSYKhNB7FxD3/QedzYbOBRUgiek
LCFVsFPnwSo4S7wsXDW/L/zY2sB6Km8tGKP4TyjYxO4OEgxptU3mVy6aPQetXAVbCWohHEUETOx1
S/4844zzyvHA+WT3J9aNuVNoYfsnvGGIXxvq4T5xR38pNtSvnMZunqKv7Ks/fNbbyv6s/yib+faz
kIl9oJjZ/8HeFU1KiaQ0+UrYmB5HHsLNIKZhir5RFoCHcSaX3STH4jlFDZYaO5VZ0rsv4ZJG7oxI
i219gb07zYgO/BB2GY7CMWYcXmugN26esaGa2/Z7vLGXlm7zDLCOFjsVwzboRlIjukl0kYlS+Vqe
imO244bs/qJt1uJB0E4YRBCiOdY3UulsN2R62a48lfVmepn/DKgUthTaUQxC4Fm3NYoRzOoGJPIn
NitCjUGdb8nUPUxvXmgvuOyuDChVCb6bEDHZJuYho597jt1mOq4HyXxhbfFJZO5Bc2Ubq57xH7LR
UIDpAtSePetQXli8rMjcp1dOvYA9fWYPguFFiWATI8Fpz1vpAGyNWfa4J179ByBdDPwQdXu32GH2
QCLrNH/Fq/TMcudTCpKGM7L+2R8QO8U9eS6ejX0VGB7hnX78vZ5oPKU/2JAfLJ9jrzoS5Nf1Jj+F
w6lMPxYIoDISp+Te2PsWuIWlTxUlBMLitWE6XBUCKuuWvpOTG74EOWYj3ykwCd+ZFxY/Ru0C5PaI
dNggS99kz6SsOp+ZWv2JTFW6EV7qTv+hiK5KucA/iVueuBG0J2olmW1SeUp85PJEIloGJ6Eh5Ug/
FI4S6DyiR7Gajn6OwijhJ6lFhWkBjpmfyEfWPqsmYv8T7OxI0KRZr3dj9CNPvs6TT9I+Kh66xeZH
FUiuGRjVljRDzDwlO7X6KSn+SrZ148P7ybeY0RzHzQoLSbEyRWIMsuKr4FfiWj1YtEN/jmBUvUxP
eeyvLNvYJpqFqVGFG/FDp/ahn6HNdHcm0DYMuAf0+xOHLWvAsWw7uiBRDy1SGa9aHAg/Ie5VaFsC
XIBK4WOQSBMHcSoqL40bIfvg35ofLZgO02u8D2/tdeLAJOmc7KlDocCOn4ELOpfWuFUispfO17xL
4SZy6hS+W6HURQjhlk6euRz2TWtnX+Hf8VJZB+w9pRp5PztLLjBdobGzEtEMSizX6KnaH+rxffri
PONjPhHKJxbqP271X/gaOpKNbC340/ytO5qqDpjWy2sFN+3QPRONDJ/Y4g0VeqH7nsJrgWbYBsQF
ZcaeOJbqQHeHfRk7rFk4Estoi3dlH1gvxOb7wiPDpC/qDtQw5Q/5I/V5kGL2FD09pi0I8Ye8X70T
lwNQEeCBBGRZUF6IBQpkQoJXg24YM7VxqIBQwKDSwz4N/4Y6yFrsuKdtAL3K7Y6PDMc4X5T3iBEk
8xYK+9IdxYVas4cjZIaV7gYaJ94Uk4pRk43RSQ6oFjSMPROHmt2+eDP709y+8NSPUGTqYY+qKHUH
qyUSyL8RGGfE4I1FaJjyauMgPt6p0JX6TjQOYelryzf/oyJjAcFZ//OkhPtC0eypvlrG89zt9TUO
1ZMzIm6butq8In1pxn/ywh2FPZ+B3OkQhH/LE7P+h9qIBcMOjiCyCR7+h2xoB3L8tT5i6+Mm9AHs
KW7o8kZQAEOknnleaLvZ4Qd1OkL4kpoHES/ZEgXLeieEzpaB7mHTXcOe8rnT3/ob/1krbhvttvq7
voA/hwzo6B/oZJN4PTHve4KVANd6srfbyPazYHQWs7qQR058E2LrNNocVSYYwsGd8yM7Kh9D+Zqs
jcUcs6sT/iZ+u0n9tHaRJrGmN97sm+QSuh4QngF/2N+CLjq5qVOQbdrzTXjiGEI3lR0GxAmNH4Ko
2pMhjFC1CeTsCdm0FiHqzTogn1wRol1GSCMM4es1i+ZEBB2WUMMwvd8dsDiy3V7I1etLQVajp0/z
N6M13oi12NbidbuK19nHpkdcGn4M1/iH1IW4mFouG2Tisy0ZGzndk1js7/iDhR+JeiHETCn60RNC
Amv5Zneb3wspGHmNDu0O3StSa6g06G+6hGHZE1F7jmXb8QHMedpInNI35Anmb4kmtoPgNP0kyc+C
Lak9ZAawIoGouuNNnFhpz0AqDMtOX0XalBirJqfO9IQnBhkFipRaIfJJ9HCO01X1HrumsYmrfRaZ
8o1Qw7Y4UPBoqNYQgJofRPc5dWHJofpPKkRIIVGzIkZAgyx7w8eyBdXhEYxICqSA0wBqyi7s7i+S
h0RUkCspuau7aUIZgRoMYQnIiHS0R6pK90m7leRQCNju0u27cKEmypYRZPGOkhKXxQNSg3G6R5Rz
/qocis0joCNRLShJIEkRMKIAUzJSpGxHkhR+PKajcitPSFWceDLTRkxvIXEW+bdJhSZzKXcJ4jfW
JR/JZxYh2eRyNcV1/uad2Fagk1OX4oSHOJODnnrFOAkKQOWb1UFBl3ovs8F9xpfpKZnXGZi9hSlJ
ghce0+xkaAFvlncXdi2ZkSG3uCib8VK80UnWHgesA99Q1v/k9XV0QMCh/84ix7rMexYyxWqQYE/m
kRInlSbE8ryqpqLoMSDsXQUhVuaRqK/pCNiNyUOqA7XG7hGI2ZvW3pB7oNVGM5T8NYNf4VHYWRnd
6DdpPs+dpzFqNJc8tKfoWFAvToxzTMTXePzdhEyNO28w6CCTgDXPH/BWVrmNKI5qN7oz5ra0Pirh
bw86Bn8ZKkzJjlr7rH+Wlo8wElRQIudO2RfaTWDr55oR4CzbAIc+0OMzoGkmT7JmHmzZpNarVoA7
MStLer8ez0GFqgBGn7TNiwUXJglHe34hMFERdqFYUW24eq6Vd+YfisR8pp7O020okDbr2HC/PTqd
KzJnw3jUbCnzK78tWqfTXPQIqSbyb1IuNARmB+HbFE0JbEdorFcs7/hPPf9hUIfpgz/nc9Z0BWFo
uyc9L20F6UXgnOt91YQ7OIllrqBsuCSJfj0tMH69AK9Z+znGiNyXw4gzXtj/Mkap6Jpo5ZJfIf3m
GiaQBoo95MU1T5ES5Sezk/fU52fOvVDYVOI7d51TbGyyN8r+fMPlU1lH2Ce0NX4lU7dmp+TkI6WW
YH/RzURTbaCqySzhmXGvZIMhBDgWLFEZRKrFlbloChoSPD+f8eNduAGeej863BVzqyVkDl2unmvk
EbErMJVCjR3uWeguuUuLEqsnhzv6iX3wCWO1Qe9IpWx/NKONRA1t9KmTUKrEXGOdtFC9pXfmCt9S
cpW19b3/+WQ+weq3XIJKWg3SzebOmJOkJ7WCSrvHXs2Fcq/w0Elkede53q66rqDx2Bwuj2XHsPL3
dMbXBxo5/BH3DuuRx8jtMOkVj6tiEfEbXsLjmIIZudBkvW3uVp4dLg1xDYaOIeAaURHg/pfa5e24
c/6I62USrA+pBrbpoh9JC4kHSA5qC/HavhEf3SHckWxEOWcPURKFFseEEX+cPvng8UKXYPV/8Plc
bof/Ld2FN9Qp82hPPB7qwhlZs6peDO3EqtDULUu+UPa9th3oCmgQbGgCi1jS0jd1ebN1YSDfyGLQ
3KGhWfdq7FXyH9PnwbJA+AxeyGPnDrlN1eaOcP9oniN5A++6WbyleG6ASa79A2CgRL/uuC5lR7I2
BcYBoT/T1bVc6VXP9xRPBMzO+wtzng8PQT0LQDm9h3FOURJHu8k4cz8TU4l4cGMsBx4Dr7WWtYAS
Akyh/CyvU2qFvlJxJ9xhrgLrvE53rQ3AjTLKXMVqhjk6krnjMSyUFAy7NY4xiEnlukqDiYfJOtCv
Y37wKOfRwReykQI+iZ47mv9dsksFljpNQGs/ravPIO3jqrjs5UBjg2WR1U4/7Jlk/Xl4oUGKYP26
FlOnf82BeM6MsRc3hC2gdAJabCbFbNznXCX+EsuAq2Mda7FH5IiVWJciHIsb8Eqk2L4slst2Yg3P
Y/+RAhPrKrvKt4V6BNImyr6p25187Hn7xYcQWomIAwSW4oEYyyQv0nxRu/GMucwxfGXtGd2Fb7nd
FcFVo8S5IS4PpQ06t63gwifJO9pc68CuLuA2+wPJEwjHpcb4k+G3C1wAPXQxmZNmc1VnRHbXEWYv
FfoNmErGZ9WtaB3oiXgomG9YpTET8MwTPB4Ja5Hx0bqABVeuXSenPatv1PAYjW7xoHtL8GboaxcX
Q3bRbWfAEC6MC59Hx0DRtVZiD6wOonQUNdcdiO9b5GZIpEoPoTZGnb/HLZoxlZANRYXgd0F2dl3b
PjW5P9wfz5VpGdK3U9f65JTvrW8UnrknEicmI5LJOnDh9ZK4/xUQZAAucmLdw4yzs6NqzU3BRybq
ri2uy4KOF4IZzDNKmc7I85zRxgVxEqhUOcnKoBHRxfJmKzCQv6mRJED412qcgN3TaRDhhHA8vST6
O4sRctMPKNXiZZ2vgsM7j+h46X5afpI9MMlIcMmBVbK2anrNsG+cD+Iceo1wE8F4/i47U/X1cR1p
FAfYyajyFc+cmYQWSgcUzq2ZY+U20dAaBVGB9Af7pavSkbIc7S0md2AvB95FhxH0FCqqIAL2o/IM
pL95pc4GksMy95KAumtJhejZyMOAZbCuH9VB0EGQ3Rr43fl/sXcmy3EjWRb9lbZaN8rgANwBLGrD
mAdOIkVJ3MAoUcQ8A47h6/uAWVktUTLKet+LTBMpkRGBwfH8vXvPhfBW9me+wamu61NTs6lYA8rl
giGO44EjalqXKLuA7HG2uQNK1hCyotu9kvgf9o33dbmu7VvOJY3WxUHN2BN28UJiRvRiZFvurL7d
Irikk8sKtODEkHPl/nLcpskjIohGlM/qzxa/vnLR91vEmK3ANOV6LzGjw8MJ4UiuS/hb3vIpNLm6
GtIDavO13WyI7FOPbHfr5OBHV12IAHwbmtw8my7ZYaXgTkOR6SVgTJ6MbyhWWMac7zW+8/3ofQCR
23JMKW/8z+6SOENWIgjEVdQfUJbbzE8pUi5J5Go5PPPJJm07wMt90tFpKtZSf9bd/TL1opUADSKm
RgBodGStsmg5dcuDhnsRFIbzRBvBZ0yzq+o9FyangksWxT8tKZCyEyZNeAd7Lnq+zS1ShB95GHkw
B41liDd4J/6KpX2pOaJDe2t85WsPa2a8IqQM4p2sDpw1nuT4vgzvaKQf4Brm0/Ip+JclSDO+VGvI
hg3CyAiDHpXexejvl0qa+95A+/mFjggv78KdIvg0RpJLY7DPeJyuSourkaH/tCwgyzMbFK11YCVB
oIy/rSi2XDY9zFfyE3Attg8EOHPeK320+FVYS4Ezdt+44JmBBPYtty5ZMbwQF1SUfBj5QIgduCsW
wCA5eeZOdMTJI+/TnDA0MP0JVCqZD8a0hYsUhevKuOXsDNmm0idn3tPI4XAbxW1AxcXC8roYcbNW
N9kXrhluKd4ZK9Gsl5PNP+JiZjFi5eAUhebOzA6cNFaeHNGKWvF85J+xXLZPCEJYoHjeGfLAP+9B
Q10o6uWMKDwIL6tSXLOM9fFl46EzpjZfhyZIWq6dpfbh2UezjC85hhRn3C0mUKj0hgmO9GnbL0MG
Tis/lYcYc9CMk4LGww5LTjICtnAeDLRk8utS7/GrKEFSYqkQCkBeIRuSTG26wxBQENuvzP7APUM/
LbOfPqAJYCRDJcand7+xyN/QG2Wzzn51eXyjPKH9ibIIgsYiM+gIUrQOKC1oJvNwbugwBVTk4NMM
4W290ceP3ToOKe0mi4f0Y7pCEF2Pdt2NHMzla6MpmBZpqRJ+PQtsXc/tkWRTQobChApJDVcA1hKc
Qp17lA7NJjvR6zxFyTkNxLdVyrmNq9EGaVvaR78WyMgSRFQFLHcMa49Jh40i7ybrmC5BzOBmDibQ
QbjimFpi1YDRaVLSzU1XH8M+CEENWBZ30mCbK22yiI8+jbNGiQEuXXpdxSD+xMwZaQfn46CGjMir
1sVYAXdj1Tn2Rkf3teOxkQotMlfmoCR7Uj43efg0BDxkKnAJe9LYd727SahrwhBbZopo+mLofJKy
XHE3elAR1PKTrz8eKDVtg9S7fv1Wk9o5RY559/p3Oayg/UjnpoiT/kjCbXfMW+zgQx1zyHp9ji1k
oul//gd1GSHm69fdwrXsSe1biZobtwH7c4QR9Pf/7HYnZcmjZJhqyg2c8f/5B4lKvnmTWgKHIZe/
/q+B45EBHfr769c/6ZbLLy/yw9Siooxdspbw6/HHzCz5o1FWya4o5pNRo+w00mZaj85IWKbrco/E
6P3hYzj/freegSK0qUn0QWbHH18/wl8/uPw0yk7+5n+/WaXBARxvA7RuQQu6KCFfX/n1f8lyZtLX
t/P6x9dvyqr+5JtMEkcbt1KYmzX7Sp501XJgX//3ijZ9873Xv3j9ntWDY0xUvLPd4ZwT97stNO5/
F2gv1HI2clFosALUD41pEVdbR+66Y75hhS2UMC3lylKozP1zn3hqIzO33LVG9XGgMzMjFpPe0t5O
6AwU40ubmQ07v+BrKNOMiqA+loHfbYZaMhiZ0bQltNASVyMg0EV4XeBP7m14HaJajHRRS8+zgqg7
ASqochcdf00gVTr1oDmm4abqeCBrUxISmFVomsnNabKrZlzchB5gmFZ7894ntzNv7xpJQ1A2org3
GYXEbNfNOB+2IfjgnbQqBiE0SZxG3U6WuKnNqdzZDsLXegguupHyZEJzuJMNmDOoa4otAf25coLT
myUE3vFIg3D6oUVXWdG18tIsuKwgSEl9MME2MYRravzES8yWx17Ll3rfZgN9qMqBxoFxLR850hDP
W0Jn1gADEey55zQUDTvy+hnQEg/okDJI0W0LK4bpsEuZ1vMQwnvorpgqRGuRsCs0mMoQ29mSnghr
ZUnSGzT9Ud+0t9WAIiQX7DDyMn4oze6Anj5WoKZJzkM45brxQcxokBZcB+FcNBIJCQiS/lGXHLSm
HuBSqAfbZ+9QjFSbpq+opKDI5zjaiEcfZI80U6P4ty8iO/pMqpbBxhKqjtuXzi4rEyIXqy08ebkn
dISH15L9Dc5qK3qaVQogJRsktgzxPKBpW2LgCUe9zMldtpZdF1aIg0cLEakXDloX5ZF/De2Uu0Yb
Lh7z4UvZ844NyOjr1vDOfTfKK5Nnl9tHx2KEk+vEiD2rKP3idlSjpvzqJ748hz0PuBy826qKw09C
sTNEx9wfDIsAsUiPcLyL4gSfGqMEBFPtynKdiaW8F2WwCYciu8QONpSDPreNti8L7Prz0KOQYtCL
BWU+CVd+ri0bKYE2diDBSm4gb117u8wKw9uhuG5t5X+Klxai3PiD7QE6KQ4kx0DMryR8WhDPGPYX
GuIAabx7VKEU22Go0apw865qw73tBchQIiKIkgq9eLmI2OdAfaSb4z4T6THAWMDbljjOcw0R3Ahz
e9sp6hFDF0QlxJCEnLwtiL0FQO4CMR5Q0ibzlKNUGjDvJf2XNDaYAs1duiUYjKgV59kNXXKqGox9
2D6ubIK1j3ZKEluZUf1PwZO0FXaOdLhsiYbeTfd57W61I/xzU9Vn/DTdCd/KKQvEiz21GGgqGmc8
Apg1IEjq5EkSwbkzEigAJs6jXNTgOD50CvNs2zZklyOOwOZ38KCb7rQ1sUmqgEw2mWqPOKT6lRnI
ZzMv811eql0gMp4ETfuRFO3HQWVY2nqxm+3sarnScer6sG6NzAJmPn310ipeW/ES8oHljWSPgcDF
3Uj97fh7wya3Ma6wNCusNgVp2etmHuITeGDaPzpezwFm74Fd8SJaRAbi1jhgoSIfjJ56S1qlubWg
SeSV5sHiBtM67cGEYRo+CNOYD4NdTLdOFO2TSp64RPKvJPteEgGwsrpy/Chy9nE9Njc1MFkbWtqG
UfPFace9A6PmBAwwujAWg2Q1gma2Cc2ezGw82KZ9rjk1tBxRf4eRvwLx910O7G9wXA30BKiKhJiu
Rua7Q5iwEYohLEjH/kQoGpi3eY4PTWxTE5JM7jdTx54QE5aqUvRmjR4PpVDoBiOmyMYWI6y9Lm1s
Oibwzwn/6xGk6rAjkJ54WasojjOFjMrKcx9X9m1fJ/eB8Osti3F6sJKP4M/Nq4W16YezfbKYZ6k0
tu67STPUQYrVNoY4De7jOPnP5CzE+3yIXyZQN0jUo4+EHWE5JSf10QDsTBJoCVMcXFqC6Rj3gPmU
LRIJE3bnyauas1lV8TkV0L6VZp/HJAN0PtDpmWXT08PWICtyI/Lqgat0VdVGdanyju25HqibfZkR
72YwBQzlnWMAjZnlElNafU/G4Jy0lo2cNs9Wc0XZCVmTGFp2u1nK2KV2GAN5qVCnPtD3XWK1hxCH
DoOHpUWCdxiwaHwZpzUg0/ylJR1ph7E/wKSOCXQYDi34841U1qcuD4dN5EgSegH0bnNXH2o58ah1
LEjcA9sjlyyi3MwehLbRaLTTreGGDMVsYp0IM1/7JVkpkeV3Z2u0qW1ZWnpHW9vBtPqzVeU3wzB/
GcvuulkYVX462vvZ1GcnhvTfxZGmBw2+mK7hNZBwDl65MyxYuHkXAuhTEgR2OiFxMWyc0VZwsEad
sbUwmmMnMSS1iqZC3VnZPfYf4o3Gs6HTKyNR/oaIB1wQFPR1Vdc8UdHOi4QOSmIUz0VSwhiTG+p3
5wmKIo06r/1QOIJWuesdYip0MGvIOlTUn8l4+yCwIYdFA1AUuhYCbsCibbKvdPvRV4Kl3aCrKBSb
rTn0vsUgSfB6wmmvFX2qxgJabtLSTAtXHsgInvwtodf01DRSky5CaVp29Oa8mnvGFP3OcUtU5om+
xPU4psULxn1yupV8qubPdQOON4wDUqg0n1/heJlnP76comtP5mgb+i+TMyJmJUbcsE7wT05d3Yzn
xhhNdMPPoVQU5mHTPUTGh0GiR099ogSJvn0mqiC4A44L8D7uwQl43mUY6m9h6wY742CDhKwrRrdW
N9IGmMtDnVPSpyI/RVDRbmXafhMkxzYW5Ubt0QRvvPkz+Fgk/LiEq2niNn5023bjhDN5YUIzbhYB
j6A5vRLj5USW6rkHwGl4wN8G4TMgdNnksA3vFtYR+S32aizLCKuk+6WJ/cNg9V944HxQHrE0RAOm
XrUbuE83VQCYvIIBPoq5w22+9JjM8m704xL2W3aaspEPaWHwlTTobdJTMKbZ+J9VvWlq+FHWfE1K
R30JmIC2/kTBQoeApEsiC8bq2hadOqc+o9cRI0660AOHZA5Ym9KvXhkk5yboUQcl6U4pSct1lBAe
BpP0Rni11po9kjyJEe6UO4lPtkpBbA7qkvyyB2zrPCc91JsJhnTLYskZJ5p7U+HfpIpTCSgCVZNl
A7OOmHOa4B2VuKVj1kGAY0NR52ACisvCaRM64FDJBlVB0wvbIyia+qFFtritmK9Dd4Cp1dC+cCpO
WUZBp02m9LUoaA03ToF5r7zrkp7tsMRwh6PrAJvOOji+f9PWZrzvEyi9FN90ztxW37M1rXakHiAl
X76ECN5t4LA9Tj5yt8hpTgMmY5qW4rFx6uu8tH0UUHO3Wm4eBQyWzSMHVypn0eRSkhr5toCYuHW6
RuLHpowwWJmyvlkPJX0QULaPJbXvxs7N73lDWtFoDnCghiY6xfWecL+lpRqyjNkLNppxbTb0JJNo
oovtMsfvxjJZDDgtbA+vbNDe20toWq3p7JYWMZrxYkNA8FkIKYgtna9MU4u9BRxiz34a7vtSFSBd
T0NzOzozckYEYWyoQQo16W0fQ4yMeobrADabfVmChJzVZJ/NIN2JXCu6ZnGw8uV4UAP2I8/t2fRB
QzhmmY54XqX0pAK4c2K2KU92pHAAELWm8MGTJEWDW8Y7VorP4Wfy7rtVQlG/Vu6cnlufdko9FDzz
LDO4mtx08QswPglk9tE06YsoR4ibysMM61DaXDhhPhPG4eGUt2FBOG4IYZetTRXMxT7qCAqQ4ns9
ufHRn0sosWP72KvqMBuAUPMuG7YzaatBg3Lbd1vyMmijgZ27mE0vvO5sTm47sz6bMxtDadKv9kxk
ZBPaDCMx5bYs2s8GHHIevdqnZoHg2kzI0dlF0HJaMpy6uTsu7Lq2uzIsHV56ZnJtOYNxz3bX5tn5
bW7aeuW0J61iOjYes8be+FAW7iEo2Ci4/ULKD3h8Zx1T9MK9YjO0LlL725BGCl1zbF4kTl4wdpjR
b3WfdTA+0HaQbJ88VjnZAjpsagwUfnUGWD0wkMgOKZv7o1s1rC11dGyZ9BuNGezSGmAUIdEXHpbm
nTHnsOoGuexCTWIpCISp05CZYU/pXACtHYSN+0QM+cHNO/vGGfRB0x7RYRBfRhM8OMev6yuuT5bT
hKCYRJqsnV5Hua2MZwtnwckT8ecx5rFqRtyNXC3c0JSw2IdG0PGi3LbIXlvBMjopsLNV6Hj8g+ZL
aQ/2ppuaR5M8GYaKMbdoVdH6mz+L2PwYJYwKZ81Y3vOHAPk/o/5ggoNnFPVjFNdiY48hQ0q05m2F
/D+qmX5EkWbblafQEZc0mUHvTPLPmXvMF97XAYrexRRVSDUMlVM8NNmmiW6zeXqY5wkLmU8DuC/z
q6JtP85RsTeyMLzL5KdWaxJifUS0EVvJijbHmrdLwiy9W6s1j+2Y4w5BQSLKEb2Cd9Reehk1Z1uY
jw1U5VUOc82FNnDhS0VmZUIKl5/r29QcvtsDNhJP4grRsQ8k003TOxlnn9XwUJWlfJ6duyJOb/MR
uHtfkMOVJuMydGYS1AKEM0nlGnkgkaHbveja1/vOZ5YHt0bzpJ/9HQQl4hMEikb4LU/GzGRBqAEe
LN4zAw3fRqSfWLD0tk8ClJIF63ul429xmT1XbljT1a1vGhH05wItpeap6s7es9+aYqMWNEjczQ9P
vSfGK7M3Nj6Jn3TOzXJX2wE6gE2TxdaNaPTeTXP2NEO3LVjBV70Yz1qDY7NCm4KfvK28BEWrXUYX
1bwfoWuANSWMOOkBR8TqkFtLz2UxJg4NTYypq2iI9/U6GmaKKau6xuPL6KLm3o1q5zPsy+92bpTb
pG+/FoozbsVBtZtmdW1ngo504m5bg6rIZW9XeVhpHAM3YF/UWPQRjI8OJBAf3xZnndvHidYtVGGS
swgBHjXAZ5vb88JIp+BK+9VzzJiy6/IXGQzQlBUe1AYBMytN4JtPRo6cSITztJky5sgxwzjDUUxp
mq+FwAUVeNuprctD4yx8ZoetXKCjTz34wlHPEOLkjZ/jNE57I9vB/CjQLgJVMgwqZuh4K5/fYWTt
bZc20TYaAHK/0sv+H/T2B9Cb59niPc7b+nv2NDw133/kvP31M//GvLmSPF7ftgX1FUxFUG//+K8l
veFf/zD4K9ejVPb+wrwt0b9/5/v6//QASEnXtx3pmrbgh/4GvXn/dHgsSpPfZ3m2Zdr/F9Cb4y4c
tzKbwrI4PP/rH8T7mlIJ4TkmaZYLN45Q4x85b2mio0TMfr3XaUldqfH9CF0zEveOg4yCY5zLFl0a
1gBcxa8TBK02Q1wXSEoYHdML6aCIYGCXAuXpEgY0JWCTSoowJt1ujSaQemJruhhdqrYLT7qIcHrQ
nqtSUL5DaXWnlqELwNxz35bG1ggfPcWIr5Md6hOl+lNMYiREVtY6UTPr9wkVJjfvapBTfoiZD8XK
kaTGrosIq5ycPXhWU/k9LfN557Qy2Xp8RIoff6N5xDu008qKj0VHs+mzR7a63jpw+t041jzbiTFf
+ZH7MNlmSGpjcOXZjbEpNTipxjLdDfLiRYOBwBS3ZJBLeUfG1skMG/w5veyYnEUIByfm7bPD9i2u
Lxshg83k+RdePh683pz3rklmqNOmNzRFHlWQwZCOYfqn3jlI8uaYLw8hc7rvF1SS4SKY7SIe+6w1
FBfEia1GqEzs7cwvcNAuqJ78FQ3Hu2GwKnwZPDdI0v2ClrbJLu2G+mjoWob7jvg+Fzx8E7e6IlEI
zyrTEFoOTHZzkmLIq33sy00cGtYmoWyErydGlA2IInhM5H5XbfMcHprqtlxDL4hi2KZWcrxoku6u
ChnLKcG5R8DbPeQWpcVMIbeWoL0iJnVA75+lQUOnCHKGFJF122iLXVpP/oefwhCgQ3kRY7DeXkep
dcWEiC59mL5MLPWZe5whuWDDLPPLPsbN46j7IEDx6YLzoYMynWQVz1s/qZ9FKSXhOZO7TsG1rUDB
3US8ECUIomK3u4RRy+7Vsm4LdIqTje5X95ciwHQVjcWdjjvECIHprZqO7MihwrWRFgzF6WhBCLy1
vPxcTvlZml8beglVnR5pVQPEDdByAUZiA8qu0lcB6SHqCqMJKWyHzLZv0yl9rCmWsZ6XdyRDbVyv
yB5SHYBSmPMOXbQdYSUA37fOXWPfmzxf4xiud3Ad9vX1aJOP7SaUiAGfXC/2AYkcpO3pjeVCbHNt
lRcGmR0XvRn29C32dohRIsfl2bAVIvAlxIDAPc4eCTHhQAtc1e6+rxqm6MYwHvQyD82X3exoFzub
QcTKrcHxVOZ0iJPwXgkPB0HXYds085fE++B30akdvHpT+uI6cIxjFyI07RsX05d31zftcA3E40zc
zM6dqztlTN0HgxwNXyMPE030YOMVHGl1MQIO8rw4ZPQmA2/2oHR19XWrKMCnu2myWzpQots4qXff
R5dupuhLpQHW5CaG9FJhzqYptiJR8KyC1N2EdkoNnZsF77/216pdXHwsNWmj40MFvEyCi7yys6g7
+rZx5bLobJniYieK2RWUQQgwVXyahrFEnaA/5DEMVoLk6JYn+UUPLvuiO7aFvRJu0zB+LxGjGQON
VVXf0pcbz4yD8JV0zI3Z74abyC6aTRFXCCSIw6ANwuqksw8e4Js9cC8cD1PLqNGGENl389aJzGtf
s3/DLz/UCPaDGMVzhCAji/CnLHmGsGBfSOEFczOTrzFF4hu7ISOfxXG4g8q1p567MMEbC+Mi9MWN
C2Vu7U/DlZ5uLZvuSwHxjvAIklXyBfNmfktiGr2UVQ+zVdzFYY9q2XLcFdRvdVJO4Z6SUYsDkMuN
BuW3Dauxh4JW9qfKmvPtwBtguNycqOaakzUk2B2N+VkzT4kCBkvT+JCQYs/aQF9CS29nh123p895
644t6bSiBNEYsE1M3EadLEuGh4r5kps/NMvCb4mxP5m0OTZlVqDvMc1uz87v5MQZqvYgQVDR1elZ
ZgSrhCguQN7tSrbKu95juqQ91tHJj2faggUCjgBTUW63L5a7dAuC2SCupEa5n7VyF2rrxiikPBUa
QVdqFAbqpppuUtabqxQQKkmRIMKLAXs41MC90ZSX9jiZ7HpycmXnfD2EyBej2gfsVdif/H5GJeS4
/mnSNZ4/X12WbDLx8UzATho6p3FH9ff6Lprlrbz+qZ5fQJq7x9cv8m7A8u42f73LIkrRjvcdwcYh
93JlHfVUo+f96481tbHXPUifuO1Q2felaVtrgxHpJJS1bRzrliCNgqR3rDqpfVQkgh5f/1RYwj46
BvaPLpH0dWf9kss63JYTKm8r+awzvhsocjfrfka4Ai3CnJybsEDAPPnzJbBv6xgyfj4I/MR979K6
NebLejTt/y9Avxdd3E1/KECF4Fy9V4Ei0mvi56cfC9B//8zfoGHzn1SQnjJtSdNqqTL/XX9CIFa2
pQg+F5YA1ur+UICKf5qmTUVIa0aZ0lH+fwpQy/mntJjkkeyuYNUpX/5fClDLeVt/KpvZiyMkRFxl
m0ul+2P9GQ6jOXtV2e8ZrpOclzcx9mNQh21Vk4emxVplUbSLcyM982gG2GLVi+MjXSfE11RzdLL6
/sogwOeCEciwcmVTnJenI0nLjLH6oj10Ql/SOPT2jVnUOz9inPzD8b75q1j+r6LPb8q46Np//YNj
8WMJLU3L8SwIypZJVpKCUPjzR6jrcGbZHjv0SSWS9j7epgbsASOg8C0sSwMaIRTAd59dcmz/8Npi
qc9/qN//enHfA9RMfjun5M2LN8hzBGtQt2vqiEqXLXdmz+TXAPuyiDtCYnNdqQofHpTwwKaX/v5n
/+3rc9p8ZqBcY46tfv7ws2CIPjlOR6u4vbEdZFJiEFjKiP3I3dAgOeGwtEwRKsDclLhK/vD6b66f
189v8+kdLm/Llt6bzz/qrk8zycGXEuR90ugPIVhS0hqluDAdWCe2vcgNvfgbw4psNUyTQwW5Q+BR
8DDAkwti5f239Pt3xOK+3FzQ898cEVIWA0JFu44sDJZ4kYzRphDEFr//KoKb882Jlxa3C5MPB4Qs
+8ifD3xLHHKr64CNy4zRavLKZNOMKnmocC+nqgvhrxXB1UxHybNoF/eDMdy44FkZotXWubIdKEej
UgAnHG/3/ntbjvnP16S0BOuDxcaVS9JZjtC3pw9xEXL3iP+WtWZ6Kbp+19bPbkBCnjKibw5t9mkK
7mPHRO0YYD5+/0V/PezSQoRqSdDljvhlIxuQjzug5CIkwETeUwR+tqpMAAnvv8rvjrrlWL5POq/v
SHv5+x8+mum1ViLSlI8WkiU/e3yMpqTLmdmi/sN19Luj+ONLvTnByjHDOpSEHHlTzIQCMULYJ8/V
Iia0XYd9tg2mLZou3/+A9puGADcUfQXXU9KmL8EF/GZBnoiF8tgidDvLNXskp12x93Pz1MUu8vGK
0aL2r6Nk6i+rarjvXIeecq33LA3ogw2XZM9M2kiw4H0MpCSkDAV439ZWK9ZdJHLDxTSm51qyI9O9
rzGoxS9NaEP8RRwQTAh7wMC+kDA578EBNR7TxzAlpEsQ1nFG8h92t6I3Hp1axvs/fPLlgL65bG2Y
+qagJeNav1y2Xhsqq+y4cTMLdYgY41u7QxgchXwqI9K3HU3BetDGxtX+fZuhlUscwqUK7a7HUWpy
Bu+ylk2SaRCLBFT1ovLKYW1PCLPDGIiW5mKxtAZN17CVz2R55bnzvqJurGt6G7Nln6XlJJdj+y3O
qUBDbzD3wedJgdu1Ema/VvLp/Y8sxK/PLkknWtjLYiX5782tmviZIqs963ZlTbZuj8xnqJPvYzmV
ODI/zkmJc43UREAQctwXZLhcGPJl8tsrs4OyOifGOSyfibQ2zqb5xSJBc91U4ksUzILIRYY0PhIf
1UuaBZ3ahkge7v0e3ouJ+d+LPpKEpC+GZeBk1EvSIatZp2EROgENdrPLT7nfMsJfUhAdiC+j9m4R
X33s+rNImUkUSPI92720OkiTgAyd8ZTMIXjayCWMb6iPQ69vUZp99MicHskJK8mRQaN+Z5ryoyez
uyaRcu8rIlpU0W867bG1pExOCwz/juFuZ7dC/mGheu4dEGqrxgMv5XXjlibTRzuJb3ryReixXGQx
u3tvGr5NFSYEEuwmPBc1Q2V2S0t+nnfjrieVG9gW+nvHpFE0GN11iNombZ18O1Yf4TwzlXDwGZQ6
Ozom0oUEkRIRvHjTM218ECXO0dL/FjXyG3OgG+ncq7KV0MTloyXUvTM7n92cTBbDHw857ciLwCWK
tWNIQx+6R4riaeY2bJzLnHYN6xUOz6a7zqLpD1fVrwuXJ+l1sl1zSLhw3TcryIiKqpcD91HvdNsq
R0qoU2MlQGGAhwaYCBo1yLCQvn8t//ZVJU9daUp3eRD8vDL7DVeHP6c8ds2H1h5u+zJ76Rt1Nc7G
RxL2PqW++vz+K/6m9vFo0Xqu8IXvK8d60zttQ18XBsllu8bRDE2wnU1jctcYXbtpnhjn4143T2Zn
4FSX8837L/7rjetJz1rKcx/do63e3LhhTz9pIFdhZ7jl56qxtkQoGQdnRrRUddaRnbJrPBsDgtH3
X1e8CQbh+cALO+gY6D4DcX97dnMzMNiacpxhP1/53GHMvXMMFeE0YjWIn3L2DCupcW9n0XwFcpy4
yiJ7Uvohkb3407v59anPu/FoYNMsFy6Prp/POmK+WajKR9Q2UgWZy7IRVunGD1tkO97EnTm04qpl
6nkROuV1GgSkRKDGzSPitZRF+h+mgfePkPW7U0M9TGNDSFsI581lUdek9cUMsXaWbXkQbI0Nqnmx
1bF+qMLpRbcDfjPiCJjAWcSLBNmn3C4/TG5gnkkr+ZKSJHixb53uGHkQrVOEnSRJ04zkvK47M7wX
CWa12HSvKEX0DgNC0AX5ZT1HL5ETjKA2+dXvf6TXsubnR6MnfddddoS2z17tTS0SOoZhBBEidRd9
wQ5fSNhfCTfIN4VGx5yJlLllgodd285C6xmJY2xxPWZyufFzdmutqZ6smdJF0YQnpABLYgUYwG99
/I7gZYYs25oSW0waBvahdyBPWiUNPRXNyNSxzDX+2R8hYciSDxw6B3wJLbyCbB9yjErGaX+ovhzG
PG+qAT6yLwQJPQxh2EH/fGUFovHzyRvanU7bVYeMMQJ050bGtJ9rAc2NQFQZOYdoINa3L0hDLKOX
JDYwYFHw6x53MeX5xC6QYFE2gLReFlE4geIkNyTl53ysezA4bGa7SG277KvhDR+bKMNsVYgWtMBS
/ygMVlWDT0lqcsCsyl4pnR69kPliFbx6Q6anuc0J90gdRigBaZ2W2d4NpXp+/wJ4rfp+uQB+OBpv
7rMBeYWDVrwFkSVSWswTQMkZSUXp5sO6Qp+wYV3AfodQRAlkIb7VYml0Yb0n3fX770X+bqWnAOch
zSok3LdLnzdpZ5hkv9gfXb0bHG86OVb6qYdOpWoxnWOpXVTQfQA8PGRByMR1PpaAAPzq4DvZfuaN
n4OSGY6s/I6t6sRUHrdeM4M+zpcaJ2ECzCjlq7T4JXFdPnWi1wfibsnRqBndczDu+bX3jUfU9OyS
cBuR/nEhvJTIVC9+Qd09ASa0rjs6zluCcT/nFeIGz0cFZZMODUkBb4ZtHiKLJcqzkS5K0yOBwUes
FZufbCd4Em75UfUJz/YK/WBHoloHjxjs+zmuCUVpwmdPJNnxD8f214temaZgwqikMmlp/HzRLzuD
pa8K6dBJn8KgI5V5NiNCT6np33+l3yySiq0Go1HH5bcuaVo/bqQIXlRFU6JGrsLiJanqVe6i6atL
WD3IXyOsVEXuELBROPfvv/BvSl56YWRkWb7jKNd8u3EmZbuv3AD3rFXITa9BGvYeLo60a79ZtstE
xgswUvaLKj0FQBUi2s4ndvIAy31YjiT5uN6zI/t4NxMajNOvSTYlAjgFWOn9t/qbC12ZaFtd26a4
YGP78zEic7a2gsRssQKGy0gAonnypM3sZjQkHrgYLW35p2bWa9Hy5k6n42f5nrBozTFk/vlFcXK0
YxxzdwndX5kLGwrfBraK9ZIQEXpIvBArEiro23u6DB+swDtYbaHXg49mwS6dm9FuunUUEb7VBBSa
czzdxwRMMRj4Qwn0636NE4kMj+c+G17zbfkV952WkWZNGryyW5uViwsRifMFeroY/VDy8v7Z+O0V
yxbJ8wXtNjp9Px8Y5SdEDfYjNPTikuivS8fhVa1CkaOVwlPm+l358wgH/U8X7K87ck8JuqRcrpwQ
x3N+fuGkFWEpnKpdXAufhsm5FS67wyDCShqNzTXbFcYf7D/TEQKNCrvggpzEdbRYcgYcdkSltrCG
TLBNXgpimsHo+wfmN60o3qDL5tHkZvbk21VjmHpJGkDKHWU4T6wqjEyd/yHsvHrcVtYo+4sIMIdX
tXLq4A52vxCOZBVTMRRZ5K+fJRmYg7lzcO+LIKnttixR5Bf2XnuQWxT6F/rG37mgOh79eBuiHYqj
+YvyM1bu8ICizsUnJUuME7yF//1V+f/2eVEh80nR3cb+fx7IQzamrlcTmzvrTG7tigURK55DSYTd
msV3dO0HPMxSoJrMEJyycFYH5TJExBNWPc0g+91AfPGM+U168PRFO9lznvb9NcNGY3kQluP8unCm
ObdJqyG8BvUOr4x9rbkuJNK5DDHLNpHkyWVRXCbqkRJO2CSf5GEyfvTtpVZ0CMIw4Tn0w/CdcOSv
iy6bg+XJ6N1ts19LC+x6dPLdVOfmUjpc1rxuUWf2jn1LDfDf37B/eb/iJAxDTsYRtbTzH8d3bsVi
DuoQGG4Gi2oBhKv9ZdxMtc4fGh28ilw/h1b3R07/c4j9L7VWwlUnSuzIsWO0Jf/vES6kw7i/i9pd
aMqIQAzt73HppDs39dD9NaFzmLruOI7VdCxT5pue1wbHfPb+xwnlX94BeqnAt8PbNuL/uzIoDEaD
iv12V9wQ4X5FrFxh2xsx3eJacue7iQnqnpv6LH23/x+H6781k/zjTHNpYiJm+f/xLXcXts+N5h8f
ojmAQJ7vSLz5IVWWnYmkchErJvVDtiwHOWZbRXTr//gW/8tZ5p446YcOObBB8h8fP5VSPSR50O5K
vdwYBgcvxcDUA6Yn03h9t1H+9+ONVuhfeklqSjtJoiRCaPWfvWRc4O/JFiIHSM9KfjRuhN9IDeGT
YWizFUP3paxH4i1Mm7zePJkchukvLwLrHpkUbrhJkydpfa+lnW90NYOeEiJ/KCZycrQ7nHsHam3W
aMCYES7xMvKstzjtH9SMjps6uThbhYnee0ZMPSaaL25efvTzSJ5x38nvg0lYYPflc19WhM14DfyO
0KbtJW3srR7UtBGqgmeG0+Sj8P0fY5gHm8k1RG7TE10y5/aLfCf9XkSkesBOcW37hWmOBfuBMjKa
SFhPCnlg/AUCWZRECzW+9RTYY/e8kB220hOsCDO0b8MfovuAwJox/Ii9d72Q0jcy1+8m6NZavEZ0
EM/NFJB92xFkoaqanjvO0+RFRsm8yrL5lGtBCNDsvPe1g0Jy9pKvyAXQekTorgfX9x/rpHynktGH
TmYL5ikbVY0mJmRIPmmCiotyjDxjZrfRR8f1u5mxynaZXlcTgoXEGeZv2IOongfz3W/wEmlK8vWw
YFsp7BLN76ybL1JEP91cLT/twgHfXH4bKoHHyvWxjESY87WBYDqTtpDrqUSqWzXEPKLtod9DWilQ
UperoVy6tcC9vJJOZcKNgKgYlV5/XBosUKzcPkhl1zvn9uj+VJQvMYotv0KSG4krV3ZxHZpmOM6M
Se5PObEKjkPsggkT01nebhrbH//euz+XImjoxy7dCRNvZeHBC50hR9/v/XMzVRCk1cRMLg5UtZ1R
HKGmaMi/nmZxyXy0uGiPobzhQznlxibjJLFusvao+zRhQ/eypHCgs0kf7/eWqio3ZQmMtxiz5dFq
uuXxnuySto/3Z9j8zY+ilP4+Xop904XnoQZ8+s9Ne0s7oFa5RhXe2qAvzK5m/L7v59pQ4yr/zRQe
2cAYD6cBCuwwpYBJClqqI1Kd95lPYJtHUbYpEbF98QGuOXPtfFh505x68EeeRZlsK2W9DMqxXkzT
Po8lOqtG1taT0zE7TsSwSw0ckCAL0tcsL8hX6rGf3R9iVvcv84IOvTcH/K8VgRJRMT1RJpAvSpjn
IIV+gsMd2fJEkHQKGOkmjrZMSRwUkGMHugEEr1A++80onxkwjZhUUHwsc8j4PQQA4tkCJuKiwAiR
cvtezrLcqUZFm6F20/dQ9hbsggFv5YKqMDTL++xjzpLZuFxqK13eXRTLFmbP58ruuvfqs7w96fd5
eTC65sugIDDTvrxl5JF/CeGodZHTvrUzXum+QKOjFk/CDL+pIWmJH8NeeI/3e5SuuFljiFU9FLVp
oEaSs9edo3aJtlFbfHplHByjmESbKi9Djm8grUPaXEeD0JL1WrcjghsmtYrebjNKeLZxtMqDbMTQ
6Dlf7Komy318QgHWb5KF/3YypsnbmNch3KI42nkF//AoNCglZ1IXa3YXqDb9tndPTjdBNGJS/zyM
o/7MjP911NPJWer6MZxc79r0HCeNG5u11VXDpcdQ5ocq/5WHUG9dP0OO2NgtgQdBtRl79DaSGKUv
pD89z7EJv1UST0w/KjifeI++BuY9wNr+7gl/4ymLwXEtR9SVbfwN03PrzuEn+1+zNd0y7HsrK74G
IYv22/OhR5VL+uTyMBpOq17c9G8hgpYHF+/XXgPPUN0i3+tZfHIiKT9rtHTk/H6RLkGTBIqG70Cs
vExU70ZPGlrqze/wrvzWeY27pHlEtPmW6S59CwTWMDlYP++PSl+IS93fIIUpbq+ptvg0mL0+c5Eh
xibEu3a7mQcfJWW++KeSFSjAILfbe7Ue1gvDpb1ynfmNdHJ/jYvAY9/WzG+lHwBJjGAhTjjb2kb2
X7TJnUvii5euH/svw+3GuSVUmSYG1JQVw0MzBoyd62Q6TrXLjur2UOpBfiF/DvimDReuG3dtbKI9
Ka1fEfmR9jFBRzi60PQtH0Z0VogfPTxHAO5Y+QgRnGKCg8KIfjwgd6cPrqzlwKmaIt7F7cCaYgKg
xgkvPAdWrDYB9kkC1LP5ERrBDFide2NOIdOQ0hosloQV57HPM8heTaXyx7B8T9osQ7wYJIzGMpfg
e89BVsbEJmojnPJW6B5Dh2tv0iYgEOYqOnnM1wqVXyNyG0+ZU6iTryobG7VMdtMtD7AIAB33bv/s
CjSNHun0p9aN1akKfY7SaMkf7xe7xuenuZxo9FN7AfTGTcDewCkSKDN9l53xu0DUcTCZpen3RQyn
MB+qjWx/N9b4M0zBigGUnPgPnJKxP+gyB90fOwm8NYN6H5mzY2fZOqiJz63xeLnzsu9oI1aBT/LQ
mOw8D79AUbwUBYwCXc7bbIFJPgN1UWaFmdTf1L3Pq6DuG7GWNRG5d+7C8hVLX5/3H3gcVqnb/ZK4
V7mO08A8mMH/Norwxbbmcs3465lyfl0bJClRAXxlHoNs3VJDWpV/jvXw4c7D0zLdtsrqsYyy21WX
zVLqoySJVkFUfBCRuveX4KdLtrbfi51xj+mYcFqz/iCTuyKH/LUMBmWo1+DETylaoxiOAWI5Yw/q
gVUoYkiYEptIw6ix5vZIMySPTrO86zl8akNYo06pDkW3HLy5fIbl6AOfF+g6D0aCsZHG2Xr1suuF
tZmxnhVZuA5KVo7R/JuO8xmb2ETEZgf4QPm3aLPZ422jZA34byliZA82KWXDOJ1DRUZEC3pCBi/S
J0FF9769csaUqiBgXptW9roX8c/YAeYsBCLlpRye6yR9CWcsfpaZnV0vqUwsItQYMkYPqKr5esaP
pYRNuCzT8FAn1WHAd1Z5IRlctQVj23wXC87lZnHWdjfzH/Kcz1rZV0Yl4M3iXW2TBbrQeyb98iuf
BBrU0T0MI8cX1yS8VhYuua7r8IZYOEALW65RhJBCoLwnu7PIKQlK+TA6wHzcr66OScVF+DMGHKpF
VWJ3KSTBx3l7nSKrBmoEioNV1bhKMSavs8bloKePqDsltv3oIlYMOSX40W+yVwnhib0/Vg2XJw4a
8FhLci3G5dnucb5rh+gZQDkb37UA95GfuC9SUuAY/INVyttsNQpLYzZjaREulygf9dHkuXhYvAxK
aHN2HfE2LBhiA6I3mAT+qRklZ1gne139jqX84/UkKExLDY6UymIVjWRAV3zG/ti/h6P32ToKgUGH
YezFfxQWy+gsGTnXYUkwdkKuCnarOFY2AgZsr0oOpwRCeQGMxZ50eRnTbLu44XdUHBl+oaDYdiGx
aK0euew6IaCIKQZqO5w96ZdraZuvgWNZOxgSj50aCVVh87ly2umkG65LaoywJgnQcGSrepm9HPpW
/6y5AEo1i2fMbY+jRMevBRiaulUoOXGHn+73egHuKEv0Yey59JjO301Lpk7KeM1JRLS5zBkDR6lT
GfsWUpD8lNRkrLR21G0SkdTrxmZmHMsagklGzi52alQGfYaXPWAEf39SS689qSE7e2aKd+xuWrBz
HRNFBXbHTor25NLfkI05KXenbX2Jbv9g68/qFIURZ0/HBHxLwatgP8P3jHPv/tpzAB9bL5I/WQ3A
jciMOIX07qta9ARfIPHndJUBArWL/hS0BAy21U320RH9S2zwtSkKwGbYK/q0+jFmqt5EWQFkb9TN
iSRadSoky4Wkxk5ipZY+5UE075s52OUs21G3T4cqRrFtuGaSUS7tY9yFyJvD3lrHid7PCtnINKUQ
4iIXctbthr3gNurdZN9ZAVbTChTEEPhI1Cq8+SSLYwHvYvJiA+ujs9Jp298e3Z+iBT+LmqjCpatO
omnr01Ll9Sk2y2ccUCx5GmEZgyiF8yts0ZIvGAHl7V1ue6J6gQHVJ14eCUcp3/mh8iC/cOHPSfoY
sq48Fbd7zpTvliAf9kWtv8YjUQc8So/3m2aJiBarnfe6JFLd7gJijG4/lGXCqfJ+92bwZEwX7dt6
zk5zUeSn+70kh70GtWpJkf73vjPtBU7rqGt9kiq79iNXvdn+fWjlWNU5pPDce8GCkoIujwTP0hLy
dL+ZrUCcTPNRNln19+l48GMw6hI79KLKejv4Xk+vAXagwl96o0j9cGhMAcBK0i30WHIeH69ekZgj
VJJLK4CNdTE7NHti48l1zYk4fEjntPYOnzgeB4Glkw5u405I0xfQgCK240vJxOoCoIIE9MRWW3gW
Ll/yAsFGHxGJm/9eYic9MeS7eQY6mLvAaMLW3gb4j1fai0mGThZwfTG8NnYPVkuvWhb2z0lb0wN8
KxhWdvJrdoetiXNDip3gaCLjCoxIDmcN58cxrph6049wdxF+g/P3Fjka3p9NMitG9D4v9fH+rL79
KWLfJdRLRhXW7GwW28739+e9vHb4Utz+th1qsloRvfDH7zf3X3+/Z0+QKGVSAAC+/fTvv/P39v5X
GwuSZKWt7uHvk/c/pe4v937372NcGvgnJa6G//vazP3F33/895UEc/kRuEv09yX98wfzNA83xvgf
jTsKau7bCy6sYN8Hhst0poa/ULT7vfKGR7sz0v75wf25fx7e7yHlKLeYLt/uj+43U9aR8/XP342y
PiC8KCdmht+5iHLBpN/86IeaVjlOcbckkb++P/znZpE00hj0+bTvdzmn66OfmICwdu/YONTieduD
lZradN017Xm0Lf+ChhIA4xL022KQ1c5UIPaUgeln33aBRhIGgTgODIaDRShzggdRhT+5ECGM5+RM
hFN+QGpPbFKmvadhdnpY0bW5hDGduGLJXVUMZ7o+cXa+gqE2IbByi+l3aRt7t+QgvUJMygDMLM22
V9g/YlqXx5xRB332lyr6RsWWrztO5Ku2WgDIVB74CJ9zT1iUv3szXLvAfUawguzTiHKd5ukHxArU
yOFibe0l+kyiJzLit41pf6QmK4/p3OpN5AJzGNLhrZS0dBo3m8TEjm1FHPIOvoCdBF/qAXFRTWgi
rdXTMntbkQBg7XE/YaV3d5AozmVHvmCMf+khQe3nhSnWG3JUPEgYj6JJIP5jxABz1D1UZfuDoIuR
/Bg/JXzD86ifsievMU+ubP4MfrCpKkxaXD9/j6NDKNRA4xFDUBh7/yiXlq4CnltqUFjQ2DEsYsbC
RKyjQhpoSq1x4zRNfK489c3oR02CYVq0067L4pgM9jh5isbmx1jLfFPE7S+V6VdraEH6g7F4ELU5
ZTL/XklQ+V3EJ3uTJWp/7XZ5t6laTWJJnZyyDm2CoDZy6gnXlvs7BBe0z8e3HPnWS+ZQziiRni30
KSdnPsxjgxrJs89JQhQpOdqYzXQj1nYLq0sL4XB5vkr1q/Ezs+lpgbdOQOp9ETRQd4QTrkZ7JPIr
63DCYHO6eTzJ+8am0XekEtgOqBmry/Z9uvxG41hcI58wY78DwzXiSpqDcXr2EJ6JSn1YwNVOka9J
CpaaasdvCS0Vah+Mvn2YC7Fn9PRu8RJOAaMPbCoja8A0NpvFL/1tExEB3rvqO93tuGaH0+yyyB0f
ieuxNSVfDR4DQNhAPpCJSCVlvYkgvWWjWEU0hA29OyMwYjeZDvAD8UpDM+8Ea6KVZC97SsdndEwJ
lQm1AVKDU9iFb6MbE740r2arROJir6WurMOCoB4aZw2VO6zVGasVV6JKUQcXjGxTDxQbk0RUUfk3
/HNc4RdPrD3ZdeeB+RCku3LlV/i+VZChTp/ir8ZR5TH+UTS6e2zTnUw7CBeBe9UZE4be3LzidnO1
HdQfY+Bw6s9zMHbzWG3DoE92aF+TdV74n1MJmKn34ezmgnpfs8ClrYAxIz48g7hU1JDWZUPjlDcU
qV1Wlw9lS6AOHm6mHwJ8PD49xlj1vGuUfgrcstvk/JKEOddBa8JWbEiGWuAln+uGDjJ2r6XLWriw
gQZmmIcfUkLg96X9/aYBU1ZHMcK7Q1/HRL9c/tSskq1GfAML+UdPxj9qBwsclTzp0CFyLYxF2yxI
Kr5G/P3EALG2nPxnTl62qYN2Q8ndrHORQAGfyLIqPUE4VY2cM+jYSTP3O6NzitcKwTaXTj/d+p2Z
913TLOCrRLFO3emXEESBcQZECDNiZuxaowkeku12nojF7JYqPFh0cw6K7xN5449Z2DYnZ6QA82z3
3beqFBhU4kHs0gElELDgeUxPrZbwkRKZfxmM9ysNLo269pI9jjUG3m0SLJ8AhSSXvCHnZwGD53QV
X+3bt2jyWqLuDAHDWUcTl4wVO8poF3ozskwK5Ut7u8FEC6TqGN0QqUNEzIvVdtBOVHH5e+Nybhy8
5E/a5hRYLCFAkZNoRr/JLHUXtfm5qZGpBEI+RKwDI1aADAcxkgZToU89wvkTDaXBecj+ospSUAde
TcxWxZnqVk26u6DLDknHZMUVFXoEiwiHARAAKM99ONfWthPtYUg1QdH1d98hp1V5SrAmh/jz3o91
uMVOx1qYsG+dxyQSN/CXG5eztTWTrRAm09639fe5Jns7Skd+VwWGPgGKkzjuhmc3sQLdrPSNX94n
4sEGRXgSHnilGhRQKLL+51SNP90bKxdP7Kq2CXjrDIAenIS/G1hic+hBh59DZqFkl3SWOqNyJlIk
kE+OS94VvcxKI90kQs9DXdNBb3IzfytF/bEM8pKnLDWyqZI7djkWhxtGj0o3+4yp1xblVTe/9iln
WZyewYZ18zeGjQH05wTtjluvLAMIfQmT7lQXECTcXT24Nzs430wYQTuP0+Njy9sHyIoyddoqjLUr
3FC3eBsHZoR8Y+SN+YhMitp7TJY4QVkblYzUAb9EarpOGexZG5HFZrqhTe24nI9JCRvY0uYp708D
5muc7/FjQQWYlVb33HnqpygSDjp/LC6m6L8WrYQ5zfBl2+hxGzA1I+UiztYChM+mm1VM2I1zyWFP
nppMPIBuLE4Ry/RNyUl7nWX+sp26EZ+fcTczk3o4yJrAmYSLize+wGdBPwcYlUss1cOohLOZv2Hp
qF5GFkhrWYBejGqoig0jr21D9MxIqvvZoBE/jFnxa3Iy+MkO6RB8J1jwlN6PskzcnQ9Jce0x69o7
HQDUIZoIc+67A3OZ+RDorjj1XYQnWaWEPC0LqijzwwoSAmIHmZxNkmTbEk0laiyXZRs44FWE7u/K
KMA+F2X74OhUPrU+PWw6u49O0hAEYOlGPj3bAqR6wXp1nwVgDTjb3gjRoXH3OLe6Jy99GTuv+qJK
YOOQaJ/QKNRf0MYX5CBBLHX0t06n6jWQUl9MLr7xdWtfh1hT1geE0CXpH3eU1Vehx/ZkK4vogNtD
lHHVegjd4uiNhHjlJTOGFnTRZCbnjyVK0HwDCdMQRtsg+lrdCJGIAJmSgIL15sY84uDvsDcM9ASM
koJUyr3rttM6cqbl0eNtXgVggQ7gmvF284t2CcT2uc0/AwOFSsbjswpzkOeZug5GVa+i1HtGUOSk
x+UfKApkduou2/oVtv3hEQdqfW6nHwwk+kshsWkNJdLKvE6OstLQNrUHAUCYg+30mm+XjX3D0uNJ
sszC35vtKkQ97LYoO+8g22ScWJLQvNSwggiqgrqdUqYEHLhH2/0pYr0J5hFXcpndEPkpDW46fLoe
0Uxu1VwDh3EhsCNzCHqQkbKG84JZqZiXraXy8GmUwQ4MTHhgabsfh+kl8IPhOkPX5ApCqIlqYFdm
FVfXFDAl2r1859l2ci5batip/tq5uaFCEuz27vkZ7o9osL1DIr2L8RgjeMYDcKDhqM56PJbsm8gU
zmniY/9cmew31joGolFExI1c4CHW0w6ccngYclFvs3IgpVSH+iHKfC646VwyTzCk1jbbCBLEij2K
ZAxOML1wgmchgmBlp2TLVUr6W7dmImKxAkNoMm9C4XsP9tTr/dKV6QEpz2HJS3ddxiWyKs4UUxdu
PUZV66Cx1aErgnkVpvN73jrBycOxQPwBUubcVIBt4658ML1QJPASNREyUm5Qt+xUWEloBURSZOgd
HxPG48SO9jM0/pVx7P7AGckg/QhHBh9j/hL7+cq+pXgFyW/HT2FCeUyGe+8WjSwo+iZJbgxd9oOC
oAiGmMuoXfnWxvWhKhRQ4Cvd2iRagcRYaFiRu6Y3fJv4dBmxHvw4+cymdLwQPOHkktB3g1mk1PDd
WbRXFBcRExVFd0dH2+1txNqeaevzNB8RTtP4SRJWozzoyOARO0SYKM5DIv5gHJIGEc3bqU6IMiqe
pGyja0cuFuIT82YTGS0768MxbGWi7lnObbq1PPNzplY8Q1wjAoFEuFgCxC+Q4+z4YNJ953+AykuJ
7Eqtz3D6lUZ1+OHIn2qugDwHZj778UguZr2wh8tSLupFfslrHDCOX79Vtekv6VA4L+P0qgoXAwSy
BPJT4uJaDZxJGOXvCgQnz1WuGQ+VIryM5TWI6eUyIK6swkk0r4FWPqdUMH/msouuN1aZMwaIV0MP
1WhscfwqxgtjkHarqFpwE91uej8btl20EO2h++Sa2M+svc4wP/ZZR1JItyyvKh/kmRXF/NL55EEs
Fr2GlqyfAv9r2y/x8/2Gsd1eFu5v1Xgs72zopX4XgV3qZ8xA2fy6pNJcuB6ML/5IlrSbf06MiZla
j2xoclRpkZX0l0WnhJYYq1ujBuJt9ernxoMMZ0V6YjSs2bEvAMlAh0EaVhP5VuGsmMql3ZNL9lSw
TdAubvzamzdRaNdbnQN/8PJ+MxTxcqoZFAOnsz0YfMw8bWtknROwbm4Jd3TmdHou0I1MLClbaYix
14U5JhnibaGm36KFROuZxd/AljTHgIa1EeRhj3mLrbbKnLXO3WzrgDydnFNRZupLHcChQy2Faek8
Q1ubvTrfdgF0LVcE1O8pfNrBSrOziOsnoJGw6FkwMAGdH0JPfWX5zlnEr8XWSFmtQ+zij14zDw/s
RySss1Rvai1JJJhZBjnBD7So1iHIVbwzjjiiN4BleLuxOmIrlOGNUY2onqu52cAccl6hqFbQFqFB
FfrGfRPxtzrNfpMWED8BJkEqWasDYqpmNafeRMlYqw0s42o9Tx55VZ3L5rgNswMAVENmVZuB89Dt
PlATKXchk7t5hrZn5bcdv2D3TBquTPvdAFZ404r469KDCNAErize1J1MJBRLkforxtiBQyIRoIWd
H7NvU//O5XQc6Il30onbtQyrZ3fR3bUaBcnlaXOaZ1ghc+UF25qz0K6eCtBnIRwcmEAfc28RnDWU
MBgtBHxpLCmF5BStFBOJxyD7nrh/2miEy9BM6PrCksg0/KHGN/Ibc3X1kHKITT6AscIOOXtj+Jty
r0UyQF5yXk2vlSO7C4CUJajETodDuIo5jx6wwDAd2BXDKPZ47F/rPCdWEH7cwxQRbR8McbgVxaAP
smiRriR2ewVoUUW/Y+0i3mxT2BHB/OqHlX/QAxHMdo9YwUWEXNU1n+gw0HfE6AQ0gjekNgPpHhap
bnDEfoU+KtyG5TjdoyL+ApjFrgEzyH4C4TtmEKgvsBahtmNYiJCs0xUVA8HVAyI85lpExDCvgCsE
ZHtdCOd7m256x6XSt1j7DSrZlco1sMuavfLnBqFBroE7B+OuTBfybcnyNArRe6GIiyPwB+Bp6Df+
n8k+4B9ZFUz6g1R4T5bjjMe0vSWnAW0uGVy5hvlPmOpLV1nfTGV+Zi6zkErDrqmX2awUaM5DY82k
zkXJRRFVcHYa4glQU1UsNFmitlBvas8FgswxzFcXMK+puq1nvsqGSHkQGu1Qcb7323UXti2X+iiD
XiUhcVBOCZKJm6k2+8HDIR+mLpJLRjLUEujr1ATilW1u1UiyvyQAeE00+cKMnyYVPY+aaeVMfC27
ZT4qu9gV6RydyIhynB7tuNXX66hm+OUGybC3EuGuhqb2dmmXVmxDyuHYBMMv5uH2LvaIu8AoTbQ5
S7ayaL6zJgsJ5iMW1FhYa6iCNpmbeysR2qcqKIiG93T60jJcmg37Wo174WSNRIKaenhpC4B0usiQ
Q2jL/zLU3yPXLyHzsO8bqtlZt7kK9vrW10ONW42D8PYz9l7iz3AtBIzC8dxKxugtlWMVfeQWINa+
UvWutXPw8Qp4ZpXeCYvNiQ/L4GuANYfMw3sEvXrEfgeC0bcnallE4h02shVGKP8hz3vvDGSHAMup
ekqioTnXNTydru+6axRRc4aDOXMSJmw6LZLHUjAHEczWhGyDlemHVyooyKw1UbZR3h+82JVrHy8/
y89skw1dslvsCjkFSSptE62tqu2uOlpeHTZlt4lUdHRcUlp9Tf6uG/PGTWqm/b8RkofUeW0LuJ6c
4Y7+HBaYbqbvenIdQKYNaW4e471844P73rgt5VvWOD/ycijZctS/epr2nVF1+mA1v+uiz89I7OJt
FMhfU3AbdQHCIiWS5Kx4atYuLsKtH6c/XLd+TOV9bssge3bZk/U55l/NUZ1Ydnhw6pxI34T9S9WU
RLAMClZNIClksRY+QP7xOc9Wv9nz0mRVlC+A2rlujwyLYksyWFDm4g2fzDAA64jiI5oO89BFx8Ih
DdYJiJbp4pataF61Gwz84FS9710k7a2wc5hWKhwQ8jvAEkd9aGupadA5lVBHPtfpHyfqmmfbD2bU
EDF4IyXlLsz4ZkK2XDFzTGioEagm2EYyoj0QSSaHgpwIwgrEKRvmZ0XWQ9a1CoA4gXcyJO8F9mbC
JAEZ1gRdOWuoB0TJMGgu/J+pw4jGL8ijWoBEgfEfV2FgSNAYE+8YxNaPEiOxjad1y8iR68E4xyfj
8d/zTRziH4HqVqV+t85YOT4mM7EhNwglE1og+G3q7SKWLfBXj1kVE4Y2O80htgDeSMZ+29H/Zs9W
fGrNkGBgncQh8q8NQxYSgwpjWc+ZA9N1chOOAJdUxKnsPrwonY4Y+5qdWmwiLVk/GT9koe+1ChUJ
INPcH4gnu92AvfqlmK0x+xPtluGFOLCTeUpj5Z/zjmTTeLR/lp3/HKR2fs3nNt46ubhE4yS5vo7E
zRfxCKSe/gfHGR9wn8IyTcI98xbxAar0ukzarEqGYFLd1mND9gqdeaJgKuXRJSumLfqSOJesO9Qm
ePZqAD5uy0lrKVrWew9cMvIMkCw6j58D5Zru4o+07CjOJ4/Ux8In6DWxDHWA9yajel/p/rvb9MWr
YiS0Y12GwmP02mulu1eKqvlgbLJnF+hnNTXSnA8enFnYtRjBQZwVtGkq7zkjTWRQFQxM5xiDfZvO
q3xw82NncxXVEJC3VhtgMO8LWgEwmAQCymML0OCMZG57E7JvSMqIn/u8AcBplL2d5+QzQrj2YIcZ
xnGD9wDrln4omwE+aeOdzJyBS6UXGyTjtwIsAoOGydl2Hj3N0pAutjhcByO1qzJ2MXMBE5fRWHQJ
k2LXNwmtDv5yPuP05VqmJUFziXY3fsu3vFcuE5q8Ti+Vbfa28ZNjSS19GMnqwDtOZkvkltd8LK29
yba8DvpyS77MTVSjt5nza4JlMJf4J9zMKXcVe0pWUKYnUNmnVbYusulJn7Jh5XnOog5DTWx6jMVr
HdvpCjvIyEgz/FryXXmqHGKB3T4/1CioHitlXQEgjwcdFv01yTLQByovLxPfy9wzzjGowPy1JgWE
gBYuL6754OuHvgzIGUgVH884uLv/w96Z9EaOrFf0rxjes80xSBp+XuQ8p1JKjRuipFJxnoPB4df7
sNptPxswDO+NbgjdVSqVlEkyvuHec5si42lV6Mny94OfGAv0GlqVLUoJpJuz4xKPlIp6XT2UYXK1
TIa+k61WGZEYM87a5RKSPMirSt9VaXdmKl8TGNqIp0CwnIga86ksqFGCHvGRStkMqZjw6aQqHmK3
Xauytt89Bi1LrEB8S/g71kWdWy86EFz1LStp32tLlw9eIu9Fi36Kfph0VSvMXpws+i6FUN9lyXzP
Gf3F1KCHdTRa4XgaT0oT1r41B0LsTXs7+UP1zjFYoEE0k3UqIC93VsN0vBvdS5SiKQnCkpw5RWyl
UWd7jVV6QNxDG/uPUT5xEel052NpgSZUOARRcloX2XB+BIl0rqqa1DICRFAyyrvW84dRJ3IhbZvh
wR56k/mAbj9PqMYXUf+CT86fe1ywGn32MFYWaeMDgfDVnEueuDXYfx1BkT0OD71vhJdG16FIl49F
QOdb078dHeacKw8zA+N7EJmmDppTCzuXdO3W2ddtE2MCwNs2VdT90MythKIWHVwJQ0HS1Jm9ho83
TD8Mx7jiTiaezmecbDaI3Hjcf7gGSTCWRgBMXMInl3FDEq9J5g9dUruz8To9pfn0q+L6jj1V3G2/
s3Y1ffQi5V4mmUG/9gOPn8SF7qlPZDWSFFGe82YWtthex2p1Co55U7FlmeIThsb0Yhon4ibmi8/K
EZD4N5mF5bUXJSFWiqsOx1B79IjpOSu7aC9mm+31unyyHI3xM86cvdc0FDSShCiXisvwQ+uZdI5H
hv3yoLxoZWMRWIxlGDyhEX6xew8IIbTtYw3J82a23PAA5YnNs0BVjkzzzn4CDlqZGHSHyMxP7Gjp
sSq1y31j3HSJNG/l8NsU7KzqLhOnQYTtpdP1s8EzY9V2xJRk8ymiZYxuRRijvEPb1LPAcjKSDzL0
pI+hVuo3H/632GK2yr5SxlNLMejtQ6seSpllpwxzAY1narwhTMTAbTQs0lkzvNIvqv4cVLb3biWy
ZPvDoWgw/qE6dNkuwV5lZtn9KIYE6aKo7ENutB90BPrRbDgT/Nhag528uP1YHiV6ct4VHk4p8PiH
foBF51Hr2UbEhGT+4LGgArnR3RLO7wdsEDfDItoCRsjBTlpURIkRHxVJVUtZ4zdqHfL1grDnquVD
KOm3takn5rbrtkqlxr72neSR1IyV0Ou1y3MRyrYCwcoAYwdovGckkx96DVtg5VvhSxMzdg3zNjjx
rhc4GGsG0HZafGTgHFmquvEtLzoTwKzdvbDbRqZ3Y7In7PRq5gjucnmoPLd6ybu5e4YuANRawzZ0
tkP9OWCh+au0ao5A13kQHZM+1ep81cCzLmyFbmlPMeTJAAg0lKhV2eUXkHsx9RMteplW+lln1r8I
0+5JIlDmdS3i16hmvFN7+MX6sdnYxmjR0RpLhyJU5ao6V2kGNxRVJnson4dwAuSyycUPLxTlNhLq
ydTCaxMhuO3SYtgGgqD7NOCvaezs5oweqZWBKtkE9wlzkizYFRngH2WP6tbjLunxHbwR3NdvIdTf
DNyGLErMOTRL4PII9rj/NqI1xc8On4II1mnJbOr3h8Qx3Isd2voZGtMqXGnsg94yu26OIuOCN9JC
f5ON6hCpRd7R6pH3dW3kbjNN5Wei3tBuO073TJJbybA3fUFMRVgoiRgL6JfuvmpDA8K5X32OrIjG
2NBPUQL6oPJ852BaU0cjJ9B3tqzqrdz68pAKPbeMcKgGnHrpul6DpqIfHoH+lkdNBt8D46DHOCAY
tyoQKvi/51UFGtOiIu/j9/hKNG1+8sZfrqsNQN4tlJ1AZYwlhDsCuOXsOogT69mZ+ojsTWUd2kBZ
z7Wh//v/iorzDlrcCJ5XdTu9RBaeFQOhff2IWSAPP4gzip+z6tGv/PJFmUH42Fs9moskufl9pF0B
H2yrKLgz1RlPreVHyPN895YWQfRi/N5FdEN1UEFBQmor7lE2naTvuIxT0vGekqugYTI7NhkiDNoc
i/QhLFGh39RvU8AKC3NBdcCbSRJHw8zBR80GWKAjJaajhXYQYRezvHxymmHb5r2HvyQrLs6ID7Kw
2OSOSM3XCrDghu0uikqQ9hezzH8xavC2NQjlrW/21p6KnFuCYmMx5Cz4g1HjMUOlu9TlMG06n16W
2no8Cwr+ZVX2ivpOM3a+Ycurmmh5iWsyX0Z2D7Lzuke+sV9jQyTOhDxk3aVRvyuQoS0amQYnZN+E
bwgov0xGxRUe/tab46y74KhCCt687X7xdjIgDNuWC6mzNkWezkexYT3Q6doPtJWQ70fnmGvOsJZD
Se7B6+jk6b0OteZO/RYudC2Ltk5FfUTkRbXpJ4mmHMYts3L3tbP07hmJLS2um483VjvGhcTJVZe6
yRkLh8MGcvxohDTOvz9oymDZgweS+QW/xpps10D133oxKcl+kx1Q6xmPgXOIuy69VW1gHYOcBOPa
oK0RrnWfjCfpa+ar8ZW13YVoofAl0szwClHkdRA+mYSOW+Jvi/rrb1xv7k0nHLCBfwB5k5BKztxg
U4yUqBPGV9bEhb5p66b9TTQ46unEqWwR9gB62Xzo7OxH4qO9HJLKekUnRQB98CQVHUkiDGiipM6d
o7a4urbSrjQMiIAisLLllDRHI9QObcU7DzTlVUxGt7OVC0LRVe90FsYe45h1ZGRHLuBgkMU54Jlp
sqlY++hAGZykthhoVSN3bYZBDcLUJP1mbF4ipuJLlt0/MtuMnqfuQcgI8nJAAM7Udt+qko9jZXir
wS77OZPuoErLAR4XPod+rR+7XAITH4lh55zwtr1pqz8Nl/+P1P9fiKZQAQ3Mp//0r//yNfxz+F2u
fsgf//AnC/XyI//+2z9evvt/OHw37ff491DTf/9jf2H1rT98HTICDAfLYjvsAuL7T6y+4/DrlOSm
AZHzP6j6tvGHhU/dhRXkmy5UFyy2bdnJ6G//aHl/wLpzdZ3f0aEHYn7+69t7+BOO0P63//97ICia
+9mt++cn/gdWH+M5jg/P4zcN778xgEzw2bnVOQ0lOZNzIlTOE94A9m7DDKkEVNqGMULpxpLrOo/u
WiOIoYnz/NCSpU0AZH0PffnYhYDhEpmkp6KddWk9VKUUN85iQHaxTAij3FDyGwuvEx82co5jEOuX
phyYRo6TdQgcZkn4XCmSRLW13pI+b45+WwLMyWf/1kxDIyYr39idz0Fpjglhedb4VP8IjOQT9l5y
a7Fxru3WvRT5hC2ySV/MEmZNr/n1MWsV9Smal2WWaIRk9pq97bLqwWObfvFUdveq6YzurN02RLTs
wwwVoq6/sMDR1lGKbCQaxl9xgUKMB0zN8WJWQ7gUmn2QNrq2umOVEA75VcV+cCcJ8kvrk4/a8stt
qXvqoU6IYK5luZcZHQMLgKkb0wNFO8tmE23NGYkoIzgrObPuiyEQNTQ7LcuIdChxZ5ahRthGcU8m
FB21jR7NsZpFYNfwokOUn03YP49dkwN93noBodFmz1euBBDlMI+L1RhDaS9L/aC08C2siFxqG//e
wIddRO69rJMRPX18yqM2OABT1lDGbEXFYJlBDenrZIpVJdljiQru1EkkRfdE1yILWyYG5nJCfAhe
BGCtfJ9f5kVcNYoI1ywEtVG35ocdE/ytW8WyG5Md2ST8BwKKRStZSXsMDcukX0h3yDduxRfPgvSY
WeJdQsTFe7Qse1k+lnrM65YrC4i+kmtEHajhdNbK85/ohautk4BVoJcAvfMTfg2KzpzL0D5IOc77
WCQzVCm/dXH0YyGuthddG3hTIuaNfJ+YCni+AjufuumliBgJOBNB5QkeuQnbzhPV/KKPg7MxuYLG
QJ76npwgezRx9TgBmnpDQVwhLtpMh7U2uMUWFxCmgvyZFcmj37ART+h7F3F6IGAB64WCFU+byEvL
RUdmLRq0mLj3YJdOtcfy8IAX78UcuNSofbdcw8McKET7vdDl5B1knsh1ONV7hvLLZPC9LXvyaQOs
EdcrUkHXIE2zJNfA7ZBY95Z2HeP0rZiuOCLcIzM8rMgyuyCcZ+Tbuot+MNAs+kjaa7w9awyfn0K8
VVC7njrt1TEAUfCmTge703hTBTbxJvFOg+RFSqforWsT7UC814zzDcXetkC85ogtI8yLL7WbbpBF
i+0AnmA3lAyFRA3eojSaJwwe8gTdnXRbycSQdffNxAaRN4bailzeSgr4LQGGajEQzsauWLKmI8px
EQnMKIixWFdoC98amHmm6bYMSmvLHpC5ORfP7MHBc62h+dg1eXXS2DZHKgJ0Zg3+kvKP3p+xTVX6
OwtrLwinD0M66Jt4kMRN9kTNBtGgwUIVPow5sqTKK9onj4AHF3ULaH2VrYNuLDceb+lK56gW5C2v
Ek/nYnH4NGn2zibVhL8NQK5MQ3/PQsw12OMxNmWMD7HF8FhsWZ0ZqthWdnUbXAyqQ8GSVOXZZ0yf
v8zH5GcZpsnSDuv7PDddYAuQy0nn7U0a8oR5F7qV26bOomFdvUE6qLS5OPkVejPtp+d9hje4GxmT
TW5DMx772WmUjOIqN0JS5KqnLGPblFkVyn4W3aus9F40QaAqkomJgn3d99p3qqfPpAJ5K0NTKMdZ
MeGPBk7sbsO6/PboUaugID9V1whxjT+1gSQvEWU7mVbmXrTkr5tl+tm0GpgKREcqtla6qykuaENR
nXEDNWZ6LfHikVIcxPPMqVw5nbdJ4+GIjAA72/xJjEvJrSuKXThBwvLwWW9Thwki2/eV0yf2mmwB
FAgfpmXSLUQdC/YRdSJWlLtHHtWmt8aTb3EpFOVa29PvSZ5x+EKAenTn1PAvHtvj2Y3D6qasAnRz
xNCVMS1nVrbQ4OLwG33qruvmh2r8M4zUOaww7GmarlaaQbCVRxBooeUj+kREOu3AqFahNUlDLPG2
xgytKMNLqgO/FoD8ESF6v4hvME8CqwKJSeK9rXRxqo3W3GT0OOzSAp18sHoLsq7FTmDB2hSZcQri
CYObpZDqm7J+MMcYQhizWXxVt5T9xtVVWnzChLMl58zSmabKlT+5t4ENOzAHpZ28sGZGQvRe01Yu
ZXJD9rpWb+1QC26M/S6+lRCLw2KGFCzv56BZB1JXgvMoo2ELBvXXZCbOac6WAY2QgX6Na1wybdEc
GMrvLcntWZhYfsges9a1h2K0HN71kBQwSK7zZbDLI4kdNAmwUhXp0p7PrY7Ibj9pL0wD5VoL+Lyx
5lnnHogq5b5HmR6JbpZDMa4Iok9Oe7VkBUI+e66ehgbqFHNOlU7hwlNsdie9TjddM+CDLeNHH1Dp
IezO3Rhig/ZtfuA4eqZdiDa5JMA41HHU/L4ZJ0K2qbzhifTBeijZKzrE9VSpPVH1E1WeDBNjK+Od
SGl/KzIfay7Bi37zYrYanktfB3sM0ahseNTofFmu4hTC1IDCmmAdQwRfDL71RTEiIrJ6kvuKHvM5
5BkYxmzvcpZcO0vFj1LzVsLqnpAWbm2RmUskC3Jp+86PyfTuHEME80kWQwAAYwLBhmHtwf1YyFSp
VVpr5HUVvbn2WuMXB7MNhuGSdCO6W9Fd8sTYja2VLcjOMdmkNu+WJbkweNoyMwdKkpIk6ZEMxq7w
k2DF1xKX7ymgLJyPMgQh8mDGw0KrKJCcns39wGlOZi7qUh2hKqaKgzHrirEirYLRRxsEQyNO3jES
1utitszKLrr7dnuxxjja9D5yEpsXl8AMoL4o5sdVVtmvlYb6jdkOigKPQM3Bu2KuR+NgEDcYId2L
omXLQ47aBEwFD4Z15JvdGrcuMgxhN9oqGnV4ZLzOiQgRWlSiJJxW8IZ2ZG/oorbWCLxQU8dDs8jK
uLwytQ3YJDFLHT355U32k8BY8MA+ctO0hMrkxVMpR8IZzbg9pmzbjj0UOL9zTiVnc87Z+FhMWAks
doGw/DNri7Ap1olmI6clfsCz3x3CdOKJiirZbpCmiaC/NwAtT2lt/UyCYnpKy9M4tDqe+kOCR/L+
+wNBP88jQBNcsq2620Mhlhy4aheEdbYG8DRhzg70bdUQzRsj8HAEX0naVXHTkG45pW2uSjFHmVsx
L0RdMN2oUGowIeXQhnrBkVhe8JHPnKmoXkfO4N710HT3qe1mjOpTBFGTdJm1m85Z1tO7GBx/bRQj
zkh2UI/UyqymcueuO6NzD9J0o4OIvP35S3NGLuGhBQKZaoF10L6nITdHW5dqx9IJW3Nfm9tR08a1
lcHh7iI5PBsat6+RBcnGyfkRosH+IsQVS3zPm2tKjZ/iq6181CmDSYKrzq4urER88XPzADsnUe50
SttDPPUk3g/Q1nr89B3YqFjVJGPpe88tSWjkfVucwGR5j4ZBdLst1HOWZS4D8mZcWpWxGUz7Ri7o
Fe0XG9RJO1QYeJZFaGBjccS4xFZ9t3wsWqjeX8QQu3OcgCjAhiMUY1nTVcEqKOIX4LPNzjZ7FAoY
mncccfGm7zNjEZfGa683CzvqgQyZdABBV76JlDWpZnGURMrczSusiRzysBkWSYeIxj8Wec1y0/D3
SAieSfYC2ChCXgJWQyg0csErZFAu7IrG7C40HLci7Da54XLo+VhlOg47ZLX4sjy1TqqOVMrYQ7xu
s7aWyr1jm802fYwMepJlvXUI1mlif4R0YXzCS1er3JbGnFVTomi0jx33jSy8YRHOgyUM/PhvfWSf
y3GaEuTICQViyZqXBytwmZilz0CK2TjAmUh60Kn6oH4mH6QE5jdqEWbSXMweohrHuhMOghEIwcJK
zhWKQoffmO69yP36Wk/QcSPnk+Jcru3Jh9rPSj71+882rawbj5sjokp4S8zzlsIDfcKWCamOuxkM
wdDbMq0dWdQSrQ99pZv+grnbLgfBLSDq9ElPzC3ipz3sPqhwPgaO0PK+HcG9odNN5u1grlqyczzN
w4XV34ZYz3eDya07wAiIrHFhv4WOfQbeAaNVQB6XqMzJAZpj7HUcqEXy5ETGm1fxjuRpKtaKebzl
hTbJiuG5mMDxBCp7Ckp10pqA0DmalXhon1QRNKt2lD9Dzt2pd72lzAtStFzzzatpUNNKhOtpqPC+
RVG6g/T7MVaKLnYwO7z7hLc6dvggNNmtfHbtS0+mgow6ughiffUTjmey1NqwXdQmUHeC3Vch+4l9
623IGbUea2oTjkFzMfYetWwY/6rCcmO2EwQP0isX9UygjH66AKS2MmM/i/Vn2CXCVjuX73iFikct
Ayag7CoA1CwHWB2NzejLKV133ft9vgTs8pyGHir8tNkPE07iOO39YzPAbe0i7OMcEncFECfQrWzl
+a6xI62YVZ9f4aDGqmHk8tqXrF1xTYg4Mi82noRdWobXEdwxUn95DvQO3IIgis22QaJL382vPcGb
NQN8LpTyB+XBV+qSlg1FNkKy4A4l0XhTddTd9g6OpF9SwuEptrUKW25HbLeDFW2ytReYAdqWTSjG
EZLwGLNHnPh5zjGHaWeZEAmbpAYPyRb5tBa26bKoYqKO07xbw+jM0cRI9zyZ5rmdYtKjmk/hdvJo
R93Zqr1DnODzLEwRXQqz69dUh/Xej3k+dPXk7YHEQE4i52TpBpTUyGh2pUmVl8qzANEQcR7tuSKh
xgJtCTQXtLEh9p0RYEwzkK6MWsU92vnPhm3VKwqsbxbZn5M2pPs5eWFpcseuIkUV1suYhNREZZhb
9btTf3mNDfNj6lBZ1PVKIEWkSOCb04tiW7ai2eKhWrKEXNgkIi/CCR4/mvcDDooSZ5FlbtKIo5yI
L07mwGamarcPocnuom7QQ8bbijXIkmCrciNCdFKPZAMKfEAu6fRwbhdVNBD/FqULcgmthZpaucCl
uRFT2KD9WlfgAhZje8xSHuVUYYbOmJAIHhNal+pJ9rFp8DI8cnh1QuqUAt5Za5zRRRq3SzsOWxrX
F06uX2rkR/BT/1ZbgoQFVlFJy80NtZURVc+cCgrfDsWFtZZ4awBy2E95Qy65a1OST3pkENf6mkW6
vu3ksDUMJmgNGRaNPn3bJtzMWMQfAQV4oRVIHKfxh5Jlu3QsDvYb66MPaJ5y4RXAbqw5ScdpoSpZ
k/1FCusCyUizttBsEHL8iRoR6JI3aCsyWbFTlUO2tkAqTZLSkNZvXSIV2aju6ris85qSrdeQ7AxK
oVVit3KdG84DqUHc7akN0KlOXsAm8PJSGiy6Ig0OTooduHQ/Jldv3tNrQW4AuvGGhZHo5GbSviLJ
WKoNPwyLL+BT528LVmXAnMK1b00Pv3WIiu3qNBvfhCloDkKWWx7Z02jxe5KmRx+ljEMeILaVpTFR
NFmtvuyRNq3DLPmcIlpmU2cUMxLJVAhUUDn67Xm+xhitCu6jg8BvjHNwAHRxSd15K826BBxm2ykc
u5UjV5nN6/y7lfDagK9KxRjVz7KZeU6l66/7EA7AdOtNxjYaqnjkJR7PPvDtLfCTMCG3iGqi2dqI
bqu57q8SEORTHRxpz5xNILl96znPgAGVjnxjkTOqyd2imgWnOB04+tfQMo2FyIUCtGkTPUEGh+z1
gx3RIxdmCT+D4OvsSTOcN5KTSvxstMRFnTELM1fhPKocVROBtQlDrLHiyZcpIKIe4V6Y1cYutOv7
6LnhsSNwEj81x3aEUqlEPbmKCXHMaJzOqhzh9AThV58BtQra7MnuxuxosteToj91iBxPDYv2paTx
XjMlmaAtMXQhH3N8zK34tasVPyWtBg6jY4sG9VgK0JxjWfebzugOQVDhlMuhENvV8BRPeM+4RkAj
FacQ9gzZFc7x91j+/zcY/8sGY0Y1MvD/nzcY228ck/F/zWT788/8ZyabR+Sub9OzYV+1LYinf6Wy
OX8IooXYhOLbmEO1+K2/YoHZZfy1sND/IHuBXDaHrBqSBsz/y76CPPaZsPpf9hWuL/jH0QXwb5Jg
+Jv+Hsftmyy5gtLLdlyz32VS5xTX3E71L/KtSDk1SWHx0+c4r086CJ9xZvl4M9Unm4zz+NuHk6l1
SIQOQ2IYQNlMA/JMPdz1WlItcwLGg8anHZ7pQW1v3LxOu8CVnMWe7PAqUEPNqPP0AT40ASHSheYf
Ezr1TcZskWG2jbkdZlHL7HFhzByjYSYaNaCNrJlxlM20o37mHk0zAckChZSbbz1gJDkTktqElaYo
nYdKg1cEJQy5iNWemSZ5m2ZmLPEnmZYlCWx+4gegkWoLgmh/8mwMV8lkwbzaRTolSUM6bVHaH8ZM
cxIz1wlX2GZM9B92Fj0EGU1+OyOgQEGNMxMqnelQVekhKGqxwgqXTr5YExRD/eA6xhaOEGaHKHpC
yXGrgzKiEi6hH4KiInQJETlsKn2mVEmU1QschBPfJQirmWXlVM/dzLaa0mM5s65soFf5TL+aZg4W
PX5ODjJCSj/s+hUW+JuG99YGn5WA0Yoda5vSd5gsw2NmBoz4CMGdyVsWCC7+Ncfslgq0/IzD69yY
VrxWDzroLm9mePGQO4iZ6gWaWq2bmfTV6zC/OM2XXYMn3hUR/Bf87QBBhwWUhp84OQj21X6ZLI2k
dih1fLaAxRwAYz6gMQJhXovQ43oQZAw4lIYItTVZXfGCr4KpeaBGew1Al1UgzGIZsOaeqWYQahsU
igKnTnebZvJZknuPvbTftU6nICwZ751M2f2sABPgxHjFPXqCdMjuDaSaaEmYtYCs5S2wtZm6Bpxp
EYzNVoM7IcGyeW5kcymkjybANuhnWxttm2Jlh3dz2pWg3WRBWTYMmEqxPIZH5i1rAkv8lZyZcJ5q
92qmxAlwcc6M9dLHL8v5HjsoQEOk+2tAy8TC2zomeV71LIVk5Rqw6hhb70cmQwuGMGeCpLADdQFZ
vwWyZHpj4qTL8TGJknwTt0F07qg77XTsnjKWXDKtdzxY8hvIeGkOkvCu4T4oxOhaQuPdIvpHZhrs
HT94myS2ZG+E5zWAKqlBDHiJZh/pKc5KWXT0GtkEjEmIOcBabIXgPDBFafBlIfZpxAsueDNrYORb
8oj9td5x+Y5Be2+9LtpHUT2uiq7/IIg1CIt1KmuPAh2deCTKc5vqHwQx+3u8Pc/JYNGuuwLFLVpe
Tr9Twpi1LLl2aSenraGm90jBI4hUcyqkPW7aYGBZ2I9LCb62TME4gOdKQRV0uyBg3RLwlNp0bntT
XqzvjJ/aCNRYpqEDQ20QwLg4T8sI9x45G8dCzj90NTx4RdKzPVVqySfsQtT1O43AcZSi/rY3DG2l
d623NKM+XNppXS3RiEx35NRcRtFnDK4AH1b9NIxeehU6yzR4SofGdaqba6ia34ONlOBOwsqjLSg3
641w31ICwy7gdinsgFH6sXNqnPCrZdq4hS75gqFaENvMCxt1bBLrEMQWdwU5VzbDOA/MwibHrDTm
JWAgVbP3Y0WxGszqPetcZ2NrdnfMcOs0pcm65Mue8vjuDOlqMkguEL1i8G8g5LMHUa9Zac9QGffU
a5RSAj8Lnh8Qk1p61NwjWbb5Jp9wPzbNujYEZb/yzwkzDf60SXcyu43ozEhbR/DUpOIFGJS7ynnQ
qNmp1JrpZiDN/LEMjT111bDWq6xFxCUyaDHusa3hYOD7rYmPNnZtWDxjxg02qAG3lhjKIwEkezuK
PzhAWUNNwWPc5wvTcIcbeVmraLJ8VLlDc+rZWC+mCSCJNhX5iywww+jDOQFveTU8DhTPD77yROPv
b1KWHE2E2PJTS6AiqBZtuHAaZ+kZxrPZJi85oL1NW8RHlEB452PMxL7eZ+tcr64el4FJpA18cuj/
BLDunFjNDVxhrluHRA9z7GCEhQCOgkAiW9crOsN3jXSlhxEcFkNUe07F7hYoZ/Nt2A7vkduVZOuE
L2qUh95npIhPc4Qd6kVLx/DilTS1R2dib9eEOv73+jHqifX0Rdu/2YwJLrgyH1XpFIdB8q0aUYA1
zu2jleHNnMU2np5LTX/wYLEdoXkCCxnqfFv506pMpgiRrhreoso4c6C1yM6s+DBWD0XJThI3hgEm
K2iPAolUOzur04kdPdLd9hqVezMoUp6kKQFBYGqzxPnRmV0MpA2doCWbd2ce7iGq0snE4/0rRqre
sI2usBwuJhv0tXRQTrdO+clZI14n134ezXsm1byoiot1YfoMZ4BMmF7zmk7Zl7LQK0EkcecafTd5
00bAi8ORzNg4d7aN7v5sS3LMbbauSWRC7KsY8gILO+DQkAxUIgs+9miTLRu29rKsxulYdWur19Qj
aX34bTL/6kUVm2x/SIirxhPhcRhneZde0E2fMdD4iJdsMpaj8aLPWmy8ytpd54ZGhCTfE5c1rV3r
xRavLRkV3mjxwkIGhauJuA7QK/tmUhvclC1RRwe+dqrCX+WiQVqeRGyP5X5MHPM8NP1WlNo24Kra
NxNnoNKy+CIIQKpVs6+n2frJcWISFHoc4oDq5P23Yy8tq3fdz7qLOX8Y9fqHRwtoQHGpiBFQZgq7
lZu2yitzyVw/ApyrGUsdOjjmiwrnMFIRTCzmsJyqnBxoI/lINcWDRJTzuQSkeUB9sqwY8K2tNGpQ
fAkWTLRoPWlcW36G6DVsXrroVys/Rp9EGd1vERe6KFxc039MIDNGFh4ZVpHbspyRoZERrpt0aglr
zeSOaVt6tfPtKFzMwAXjOzFYANQpRXQdobRKFMvcQTuAEzgTk0FMtUsieVq6P6IQi4cRze9xmlXH
GiBukx2DEHqSbWIVN0MuTVevDHag2TflkI9drsbwkbI5ShtejCkxODQn87UxC7WWFv2spWndRkpu
Feb+TUPUsKycPb7bA/HC6hebuZXhsiwtojckOQYLd4Q+JD1QY5UC22yg4Nc5alhTVwa72KbONoO+
2nRm1azSov1K2IXvrMqpdmbnbPAq7+LeRQ3j9Oesv3iGGI9ABLzbfMmg/XWIRXzsawyD9ZQ2K01A
6mFBUa/BERyIO+Kc6mJx8M2Gg1llj53FOJfBJddsGJ4Hl1LfHIJtj7IFries+jEt8fJ67qYai+Kh
KZJV6rU3/DztQ2425VWCtUOm5+xwl989q7unAF+QKDAVwYxbs2Z2h52RWaACfEbTZSZZZriNtZR8
b1sGtehNOuFyCVSfeFTTI3pE1lkxnwaoTF/bUbquyE2++uKDTaa7Cioz27k5g4CoHd5wtZ7G3Hx3
ZtyM7KNimaiU3RqMGk8PPTizHNKqm4ylFxT2uqo4CnAdHQxvuJY5CxE1uh8IzJdGladbJujXUGYr
ZdDMO01nLf1iP1C6aHmyLmL/MS3UD3IW91oUwBcegzPhjt9QDnZ1/VIb/qfb4N8pum2H1yXtvc+g
L79ZsbCdffe9DoEIeWGKduOl8R1W2z9U7Ow1jDZDaO1jxz9Tm16ZYe2DQCxVIK/D0O+aSF+FLqZe
xgxniyKiYxDlIWdsxpbtXL+VsbestXarTc1GanIrxfTiDKiGysRc6ewQYbL4JIqyVbWcR6sN5twV
99PpppUXytPQVgCwV7CzVLSpzOrm5eLOSSthVH0rCm/gYu0raWKbhnURXODgOLPTTMkojOg/eD6d
ca5WlVO/zJ9koqv2HH83jOVBJv2/sXdeu61rWdZ+IhaYwy1FUjk73xBOmzlnPn1/1KnuU13AH/q+
sQFClrdtBWpxzTnH+MatUv2DmWmRk6vSnbbevpEBSaB4YtZYcaVVML5NJBZMNFsH40/HsCsIItBV
WPgWRTCO1lUvdl5J+6aaVc+sy3tbBK9DfQ0srChV9tQGFw2/IkZ22LvBvlLUX129NApD/OUPVkqz
kXrqDgukOd/XemxPkFxf0Hltlr9LQW0nUnMcDK7xwgT9SL3X9GZXvZR7gxAy2x11rN1DmdmG4tuC
6bvZALgMCs3yAcH2lS0eb0efor0RRduiwMAYBvlqKqMNyQIOpcc2gPVlVyKa61m11hoNrFmOjhnN
v29g7pGJQzZPrBcGB9Dopfexad6GugGxwwSl+kSU9SwAKk5uhi/Jp1IovUkbvwVr2s7mh2oYr34Y
InfPnvIuumE//WjU8SSwu46yGftguVbHcFM2xZcyiReEU0e9ZsMC1sjUGRrKBPHko/kEMEpZC4H8
Bnz1qE/KJpa6LUP/rF1oeOWZDb1rghC0kXisSslwtZypcJ9uwnNZc3GdfQzFGcM0ASMYMrctFVm6
CgQMcnEBnBMmG5+GuPUgOAhydml8zpRSZnsolhQPhlYh5rDO2U5jT2kUuAge3fgAgRzuSW0QbOHW
l8sHUr6gjgAJLtrkCLhdkYBqn92Sdh9mzhtidF6MdrwT+/hkztnBaKKdnnRe3Mqe1mmngck6wvaz
CJ+cIVeG8kTYtGZ1qozKlijD9CiCOq4daA289gxFAJDjs9LglqjKLmui9y4Rr3GOTmlxu+rtLtbU
my50b00CHwdiWd83v0Qk7ZGjHC2dyfg8nnimB5Wr9KgtLJXsYzKUkzCZJ02tfpPxqZayS4Unsmnk
XTA/tyJiSawD7O9s1TThEkKkUKSLpQfPgtFsIyN2rMzaFR1nGogf9m5enNEwBxywTrPsUo/mJsCz
GOSJufLV6b0P48eSmQPua9LmvRHEm26GnyLpi362ITLhG3qUK+rKPQNgOg3FlwhkYULjUPfNkymv
wyQ9Wzj8RcO3MT8xDcu2phpdizxZCka8Ds0f4iGueud/iJVtmeOH0VYvzLK2M1O3otWf6lT/aUMY
WqgrnvtMfQYu9GO1wlfQTrvcwE/mi05hWYcY2ow+AATI1mJMWN5ysgBzei9iaIMmm7dQBZiCHyYL
35is56gpbIWIJ2R027EKjmiL9mU/CKtxAAI9a3zsp6yBMGIG2NL/yAMfOaMSX/OR/lSiLTvgJc9N
emtb8zlLNLcRrNPIZiIvtbeBCQ1r2ioo+1OXKG6ZvndC/JnznvhWcu+K0I0t8TCpBZNEK193ArIN
kRpd6+4sGAyMBckRytG1ynwn6ONFTwAfZOG6UaqN2E7rmMJCiRkiWP49jsNtrErrQJ6Oncapjapd
6y4jrgVooiXhwAbCkkYm3jWNNkaPjiCp6CEIzV5QP4wTjcazKbMboTkGhC8aIL4TWVzB/CtTUjqS
LvypoZdUPbxsgHyU7Sow9RGdArulKu03EmIvW+2SW8XqmsGaWSGWXk3C+JOl8UsZ1vE6MC0JKAJK
GEgqE+nBdpUITzWXTdvPyuNUy7tKVLxCMl7mkrN6KqFtRKJHUx1hon5qrWsZV9dEw5rRlPk79nrP
iGuKtvkyqyroHBMLtngbLJpOSuVFev1qjQWjILjTWpxTmTJlUtK6tAEKxGhmB/I/N3TkyE4eWDjo
TogxLcKxHEjGbZsPqdCvBFbOBDflUXpGjrTVBXEttcM5X7wIWraC0epKCaXRWDla8qwOxXOul/vJ
6A+dEjsT9oe4yd+saX6KM+lOc31Bgx/LWcjsAXCPrQBqs7OYkqjQMHaRibNs9Cp/XheUgaq+aVlM
9NhHkFKsaefAZlspsnGosvYtVEiuxZw+qjdNGS61kb+F2VmI8n2scsWl+hPhJE8DoB78xZ3yJhEX
RlAQPICErYHuVRoI6LB+g0X2VNoh/PCANaIfjSOtxxOoXD72RfPSsj2vo4Ypd3BkA8xOC+lGQz5A
r1+12m/d5Xfl4nQI6VLk6HhWbSRcZd3JjOKHnB83Vh4nPjS3DRsn3hVMZ4Om/opUtIHf/WlkY5eT
P5rMhStb02siDdeeZ9dxoZDy/Sj3rilWv0GiI+GSSUbT5te6ykFzzG46+2xx+ouuIwqE48zYhfCL
OGSoN46H5f2quuK91/sXS24/siY9MflZQ9NddwVMsfIml3gMcTujXpnqYz79pGrwJ4oTuxXTTx/Z
Lr5esJiW0kGBpRRW5zhyfPyryx4Rx5zihDn/e6KK0lXCxlvFPweCcc8H/yrJ7Q4iPROzsZrZYRXM
8u6zj/9ukuxUgFBoYE6Wx2aTqHm6kSKvoZNtEyYf22ihZi8nJZIIjYpTgO7mXHk0VBZqUHf0pUF0
rXzQHAr0e6x+4HY8U7myYUoLdmzTNZ23hoUuqklYrvr5re4VeHhFuWYS5aJDOosCom4UoPbY9s6k
ZD9JM+3G7jcg+ocF/CXtiRdRUkHmlE3XgwJgcJTom1Yd2lyBMWjt01dAHSjZiNeYVgeWo+oAT+H9
YQ0oLkXTHwvO5V2qUaAnI8a5qDd3qoYsJovEI11ndnXF5A4VM/yZ7nYBVaqI2R8RdvYnbfOHeX/T
WGTJdQIZxzPrpy6xM9LyxlOV0Lq0xHHQAGGpYyKP15ESnvDAwLctDTZwN+UBq9q0pQKwTadHSkDl
3JoME5r7WMi1C38mdLUm2HQ60LUmDJ6oCBheqolXNXG97Xpa5gFUKaPGV6agoz3KIcIY0JxPsW5d
fAmJ1KAqF31Qz01dMH9WhJfKSskaCoInpvMX1c9ffA29sdYSXqyMHQK4tlI3cUmmUgoM3U5liX1z
btlRvCDMAYboEljzZGjwXabQbLGByYzOYb8SdsR1q1b1N01Q2P5Q6gHGC22/DgRXrW6aIHZwfOLW
kbu+xm6AayAQ0xUyOeoAGd4rqcAgH0xrXeEFoJU5ebTZ25Ptl4blWGG1rRfbYZF+M2T4rIeT2hF5
oRrPddmR+h6Zm9zgLQRdJsp4/SFlUCGDUdP0g2Wgz0DTRY6DRTGeL7NPxJ7k3+GlDYr4MywzPsFZ
t9UksNKtURKdSjzUKkaKoKTI7ANBdMkpmg4xIYu8Gx0xVw0uaT9muD6wPQ0i0AFCUwPyR//WjZxK
SoIJvdB7sA89fGxtxAzS69leK5J72qW/cT9vytRqPEvn4eGJ46KmX8J6/JOZJpe7V0AFVADFjAr9
WYjVlyIEshZpwr1ZzuS6ZizSmkvymYR0EiG27HZma4+BTnMD6Sg6ZQ8DP3lqQEbsBRycdaFDpQpP
b6F6wJBTnkgYfwlB8qgXQhj3Rpmfy9x0USpmttZDGUcv+Q7/5WdW17qZbXSGwHYh+MjYVEjF6S/J
CpBOYruTLF5BLSjsZMxfyoHgCQEhVCerhDRUX1zijiL5ECtJpMJV66Gxg2ZRZkI2Ur4l/JPqZTbL
r0xuUJoJlUNjmdMiiEERNTfqa4S6LWZfY2kdlnC9SV2BR6D8LHQ4Xp8lE4nQpIhNAnxgsnvyzHDE
UECgrCBPI0yFD3BmyduRoQOIlvWAXhHr/LuPlDaM0JCWyVbVtS3Ul2c/0unHCQQ0WsB6OGNOg9lJ
NgPDjdwWbBPGH8oqRlcdTOEE0FTBZB9lHhqCJH+XrH5rzoMziNJtiKMfEXESCWn3IFa+5Ho6xjC7
EfiN3+KobRJzeFEiihJkTHSHnsWBq49VfwvFq9Kr4dbnytu0eoPaVbnQkiY+jIadx9kYkk/Ck7Ul
0OTsWOKdxlUx9hUdFYTwZQTironLm1bnK5ogmBnGE0OuV51uoT3r428Y1teIrt9g3pihOJXoe6JQ
R1wusFqM6ZOcdWcJCroYh9eiS/dai853aMUtHeaeKhEyMv3qHH9iuyoFfQf0k1GIXm9pTv/oLe6U
McBVjq4oYkxvDS2fBPlY9elnwP5+pfradUiG9diDiBEHfpm0HXWQ8XryrvntG6a2cyvUnRtm6R0Q
bKLHP1P+G8Q0NHL2jWpLO93Q9kYmHQVLd2VFsDEuByj4u1MtWRZPZNqAJPkEuzrazWRAKo46pxTj
dKX35r2JyGE2yk+IIKyM4sw+hlDGfh6Xk/MYDNBMQTLsLVHCS1uWv8CbdtgivHpehGHhNWqNd6u3
nn2wOrOWItIsInD5A5uRunFBXV1MAc14VrcvQcVIMUbp9gxl5RwbPUrHOtzoc7qAX4rfNK+20phf
QB25kdQylV1kRS02G7qKClOKKKLbS9adj4Rj9zhYNQaiv78Uli//7b5/+/LffuzxE3/9ApSGyaQw
esoWNJZ+j+JCAqrPS1hXhLP6UpbvIHTnu5xZASPm+ZbHPvSD1Mx38nJ43Pr78P9x38jwBG8KbRFj
iJJFX1jspnDWHWQBKeT5vNyZOIn/Ojy+tAyj3Rrzc40CryWVRS52IEv5BeR/EUkVZjIQ0jKdYW4o
1CXLw1VH/L/odblZZgYZ7o+bcyudfdUcPd+MWJStbMx2jwMQzP+81WAj1H2YeanVrsWy2ppax+N9
PMy/bibLX3l8XU5IxgZaFkZJNCBbOIRjoKchjw//PDzue3z5+IZhBsjf/v52s/xHI4V7zfUCRwGB
hCI9S+4s8xfiFVsmmlG5Y4JW7lqVBCBoZCgMkrDaMU6tUIdz6+/D4z4Ew8LW6r6QiV58YfhJU+iq
eg3b3DcTrBy040B5fM2Mb06QoyY2ALjJ8drkjrpJSCWzM5pvKYK93mzoVcnDb9KaA1UqB5O6J20K
wnekaXIsC9fFzDKpaIA9spFMkiSR/G1g5ngcy2lXq9NGqkUW16k/JfUIfFwzxhXokfdRK6EccRGk
WiaGR3sV+ynd9RQBSKuKE6Zy+C1NP7lzAZAIt5iQJn9Eo9opo6nurG6YMIHPNzMekp2s+u0+LIKd
OFVfdRxWGySvwM+ZpjdDfkJ0251atbJYUfU9Uwb0/7XhFlq/NareBywr8WdklKdCwptZZMQkBEwu
2ZMiwQpMoTkVEzDLDFKCSnrlVhjEqzJIzanX6qNUoBqZIeiWMvAS9uH2M5rF9CjCeQnwXJx6WVFO
0JD59CvjDgPieVbKP0aWRC4/gr9CS5wsV491FOkLi/cStaO5NSTFPyQIpaETO74wfkjAElZmKf82
cpsd84L9O5kVR/wn5Osqx9gcfboFE69qgs2sDzFkDFbzOYw1tgilyM9CM+fnOfpD9LFm9zUyXZPu
YtyLidvqvCsk3LDFxTfoJkmWn0LDyE6i8MR0aTxqiCId/I6MVGi35bM0er0EkJj63DgC3TGO9Ei3
QZTf5KAyaGVV00HfWKb4R6FFgLatsfXKUpChzgEApLJ1sCbZbFWzGfsJpQR9AMj8JeVmmE0nULb2
lFvTIVoeCbMngekc2xtJBHbiG2a3HhemDBrxdmWVWc2VyEpJ85LfuN6JG9p0T2xAXHF5E5kooTRh
oJIxk+N/hTlnVlLpivu4769vP74DCwKab1fwwuznaJOXeF4g/L0qlvnT6fOhyGCrBHFxh/xPC60+
kR2ziwX/GUd0I4yfWER+xS5+mrLgmJDOTR29xzH5FLVoL1tVeikU0qAEq/wwZBji0kxXtppvw9x3
+yxVHFUQD1rLTlFCPlcwgNlgEaqqdFcq0aHJ2efFldeFizVQISjMAPwVib22Koz+VS3kDTrPhmwq
uYQCCOc0BPGh++xT4XzcqiAd8aGF6io3cSerUv9kca0SRvOKVY150jBdsJKVNLR2lLf4pvAVm632
MvjD0ZySd7zQbFMpPEW9uUgZ0hmp3qUbRttsS0bL9TXI60PcwBhQynNmHFvGqASL9Rb0+zqJ7iSH
OLCQ2eUbFTi+HFEqze/voWITZmTiR1eCIjMy9JPQFXDI7U0TMos/K380aju7ktTM04Lx5kes/NNY
0OkLmhWIpK2kXxDAQyHRIk+Qi3E/JLO5wuf11unKTZ1v84ImD+vg0glyeogtNBspUQEyWu2yh5QS
YU+CHCZC7WYhBAE34wiveuHVL5m8ymHObDcpNrU2f/oEaFC41jdTUt0hvmnaiRX/yWoxL8OLe55A
yQmTcqgqCfiLpl9NKdyWLYli0mUgP5ImOTOLwmw/chQfSaFP3mRQ+nXjb47DdAvfQ7gII7FqZcdI
TZTlPQ5iRQ/KzUzGiKNR56EBic/zLKoAVHkZ0gmGjHwQY3aUjbztGISNuYSjsLVI40HoLyEwthWK
HCVCS6kUYDxKEgPDaDgWwd5gF+dEjUiYSJZAHBphiSlZ9QsB/MuALmF3zCrFTqEnGVt3iGTjJtRk
aJe5Ju2r4LMPJfm102i4aM0uI1t3G3Wj4gCUe5WEE0Z95rgoUNS6+kFayjLd74oy/ANSgcJfhLda
pxeLzVkv91TGAVoxIZJA0QHMLyighTBZpTVX4LCZd8tWslHE/aQxspONCCpwjd67HulERFPzGZst
nXpYN3hfKcssJuTBj9no+R7wP1I1ih870JXiPNJOsOXJ3BjYGDZUu/kNb+MziqmvXo1/4+5HUbEr
9vLkI0wPNqy76iXjxYKebstkknojFT/zgPGZ5AgMaNaEO9pvW+9T1PLOq2gvt7oKDLOyilXbjmcp
HDu30hk+VviYnWTJXNY+Q0GZPY2Kkrf7XAKIefc16bcK57MeZTKo6Np047FZ5Uzo7Tq0RNzgIp/t
ll6hLrNtpukRIktnotkJ+CN81QmV0kIGpHY8nmZ0spmzSw+qa0rp6Qoy8E54abJbG5NrCc23jKM4
ENL5SZhjAO1ACcn5OWlFG60DUbqHGntmGdz3Cm1PvzKAJWPJYv+W5r+jkAx2E2PCs1jZaOnqx1hD
olPAojJVQEklyjeLSFmtqVVmZ2i/tNB0Dbn+6EgiW+ABV9qy2KpN6RwxlKq18JYusWQKkwrXEoMb
M+sNnSHzFBggXpu2FLcxedvk5nTZxgLz7ZoamTdFCqWuGYedonR/9Gp+yYa853frO02XD50/xS9p
dw7V5icY+6cK7QEbNQwug+i7NeahLvYvdFkIoAgqus/tBOQcdGLP3tj2A+mrFkbcJ9JSLVT6b0EH
GP8PCP1xyVIjU01cwtX6JWYtIW8NNjBPgQQ2NVdNXJML9jSlPbHEtEVLYFuVbxOe2apuoaBNS6ib
EPzmDSFvrHmKw2BM3kdcd71kCYPD5WAeQ1M0jyRII4aHtiAu4XHFEiMnagTKJS3RcqLRQOlb4uZw
yQyEudCrISOFLQzEclquJECf6L6ka22JrROXALuKJDu4Y8JOXcLtGhUpV/9IvMPgBM685dEnS04e
PhiQY8XruETl/XXPcve8BOnJ4RM8k3mVi5g1oIOne72uuFQFJRF8HVl8f32J5mRdqwT1gSxXPYps
hovL5o9Yv3GJ9Xvc0mkib4AxudOSAxg9cgAfN+eahnO2xAQqS17gTHDg4/7HgWACMrPJF+SrdiOS
OBgv0YPNEkIYLrewqjl6S0DhRD+Vj2C+FZfwwnKJMYyWQMP8kW3Y6sQcygaBh/ISfWgsIYgGaYjT
EosYLgGJLO77cIlM5A06lDz7fb0cqiVYMSRh8XFXsoQuoizJV1W7JDEODaGMFemM+hLTaJLXiJq5
2T8O/RLmOJbEOhrkOwLyExyjBjvkL+GPwxIDmdIGcdIlGjLo8UWSFRnwjqMHJD7SXIIkwawPxNIT
Lgl+C0vGEjjZsQRyXmdf2NcELl3JpiOdEnczw8UlsFJdoivx6Td75I64+5Zgy2yJuNRElHjREnup
LAGYMkmYlK25l6Ei3eOPIiZzZHAR16adLhGa9LcZT6kTHFipLPet2KHoKOW19EjfhOtY7ftHJOfy
KmMFIJdzCewsSO5sY3ZH3cJ6zzXohxLmVVYXrGT2406D/E9OKZrgEZGgwFdr11xiQg3yQpMlOFR9
/MGIjhuRosUSLtovL0IwMjDoSB6tlgjSmizSx2PHhDTuH7eIdTacbgkvbUgxhTQbXeueT5pUf8tL
0KnFzDddok+L3ti2SxiqSCpqqBKPWi1BqcLcnduMBxDBfpMZwTtAgw9l3ph4yHswEV3/US3Rq80j
hDVgOzeRy8oL7YGuTY+MtUvHJLoVnVAgaCilTLpJ+hg4kh8sQb/kJAXM4aNajDz1qt78gb3eZFXk
iekfSt+8xBlCaEFsvKxEctkvkbLyEi5rkDL7v3aIvCVz4P9lhwB8ovzf7BDbn8+w+FeWE4b75Sf+
aYaQJOkfoqrwD9ObqOuq9F9mCLY1/6DekzRVtnTzX1lO1j+Qj1kiSX0woCxZsv7LGqFK/7AszcKY
rWgaZDtR+Z94IwxJlv+7N4JrgkhmjK5bpiKpkvLvLCdK9KrTDF8/SVPcE80K/iiMAvq1M1khZZRS
96QhU6LHoYza3tODEGGA0exSKWqQYy03H4e4QRZFkLSJm5D2x+MwC2GDxYLD48tijAeyL9PQSwc5
2ii1QBG/HDp2zrtIkf/55V/3kR+DqWjJsQoYW5BXUoGE4/C4JTcjd6q1ScABdkV2tnW5K2ODZtrj
pl+B+x96gySP4nWudIyYQo2ObLkUALfaALi9+CRmsoGqTqM1IHwNM5TnJtfUxmD+BlOfVotuBYPX
mtkRIAYrHhgHyaInoLQdi2WuizbiwG0zJV9WrlNxoZLbhYzZmGqG/Q7SneRVcnMRNO7CqdftVMHg
0h9U5Q0Wfu8JBo8piM3nbrK2BuTJCEnNVpFnRtENKiNNM8vdOFsZNo7lZgOiMUW6icxTkUaiDQS8
4cvjFGAUEADKLdCExhY9bpUG8+5xkOYqXItDdB77pthE9bQJ6Nztkpp+Md3Zagk3WmaYaUk4Do5O
s/2Mo2QfojwT28bYyuQGlMj4tkEwABQ1xi3gy3uWRRWhC5gEiL/Zsc7mO2kgw5X9kckYm/3A34dA
S4p/+XJawlmdfIivoyl1HrTDYvc4YPcs/7plLH2/x32yKeubFKSXtXQgH4/8cTAeDcnlIMw6Mr9M
peXdpx3Dfx5PG8e9FyRrWdikd0JHJQAfK4OxRBCvqqtykDATM+p+lrW7kazGHzKXmK+jnCtaRsUe
WX+94EkM5OzUI6BzJayyEivBZwtTW7hX5Kx13Y1bVre2iNp76REL4enGLyOeMa7YQ+P5+r4xgD0c
K075t+SP5DCKeS3w0box6GCUgsmWvNOCIqshDGtk+v5TaJ7JOBxJWZ10BIfgTHWkdhf29rCq9iNo
NZGLos1FkjjA7fwlPmNpZv6lokW6MWg0yFizISNgEtxjcGEWy+jbQg5XO3NyMFSiCNAP7tTc1X/j
C71d1HMysnskEyQttHZ+z+9K7OkvesfYd3nZGL9oVMEqsyySwXfpsI6h9AD3Cq0N866UZie6htGu
4BcEp9L6Kn8yF5VCf+6foqv+IsB3CNz20N6xHfBKoGdekivXarUi0iWRj9Oi5bGjfXEFH9/cuJ9U
U9twP5MtCet7KN4jUw+7fGcezoA4pW3R0+51kNzHIDUZl6woCdVdo9tjv56AZVAjMQz77XR7qL+J
+jEo/Wg6JduiWs3fInPLllG5zavbkk6AlQfeymeJTB3JR+o2J2iZIBtHDJDyDilNd1PIM7/Iz8or
XFFJYw2x0ZiR0NpcYeQgeCjv5FhvSecRc1dhoxx4sEKSW2lu0DkyaCEgkMwn5uHpXScfwm5f8y/j
OX+x3PQMykwfXKPbW/U74VXGBlEOiCOL8C1/TeMFYjVm9qb/NmTsks/mOjqm00q8TJUDTQ89tfmk
HIQ3WAU8GU5b9VP9HZ8YCOHL2QFMZwa16oEby+ihnfSnaAB+EEW6jr/hOJAlFMVOdpQVVoqN+oJ3
g65UYHfXpLj3h+plvMgfjPvqN0ZC2GU52fqDWdKGsymuUiRnMHKYgLqcUFrqyQxiSZgy9i3kFn0V
fNR7N9qK6KSeEI1EvBOrERU5piAafG57VUNn/gMxHmOCLXtm4xqrZKf/sb4pJPbNr/pDCMJn9GNd
WXemxtXv4HQAgbBDnZ99ZGe9DU1NLPblpUFq0q6kV/pK1cra0fBj2oaRSD3nG3/bn6ec7e5q0BkH
2VD8P7PCLdKNyfmQeSVRPT9V4w1Ijp2f/ohSoD+ibNJf1QNWQMZs/dFymC1lDoaqhAQr23/DBR+7
0OTLFVJKnEhO/VQd25lajTUDcdHG/AM5anoRAbbTD2nfGuWdtcOfbBMsrP6jMnMzbhrxG5lT07DZ
yp/TvCp2tJ+49KT8upHgotmt35EEolv8aYO1DrLMRn9wk0KH17z5RLTjSV/FLwBbxqwmTGiPLWPP
ElWv4rfpWTuQscuyOKwDV90ONCpQSa+05+gdYMPgFWtWy+Gjj715W17iFlmpXftr3ssQloh/EsVt
+QSRx1/n7Sa9CN8IoHl/B8Hlreezlz+NobNkeUYr/s546F78eYvgR1x6iI4leCbPo7BBlDSIJ8e9
1hEHvcm50LHuSLv0CZ0ubAl0AcEnTZwQDwNBsASCMm2JNwmp6lc+3tfsGH9BcLe+g1uLcRzQKguI
8mvit5E1eIQkV78V/XNcweJaW3eGxiDN+DXkHiGRn4SDIXw0E7jz0SuaQ/0t3ds3/2jRWJouyWT3
gRO8DOI6K140nS5gvSlqkp29Ilu30gv5XKJ4bcazIf4hI6hD4EQGE6tt5voqzjc3S3+zeAPIC4uX
fB3fSryh6D8pT+7z3e8/5OZ3kSjz6cUuJhuewkcI6ENj2XFe4tu+8DvUwLJFUtiRBVP+wf9FTEMi
YWDD/2ks3hkn9T9COruYIPEn4lL7k275h97F80eXJ8b6L67Zm+3C74COhf2E1uIapG+JesTUycOF
/nYctiv/rd7h74ONSIBY5eFwAMI2Bt+9fqC5k2TbnAZg56F+lLPNLHpyQXzdpSCFK3Jx7vXDmofH
LLmZHFLupOKY4EVCZG6jq4WDQLlpP9PSGKnCWcYctbkayYg1ZZ+8WztlF9/0/bRRT8p5PvvP5o4z
GoLVXngzQIWyxCRM9HHMwn1hDGlD5IVtGS5xSKeySQm2dCV/g9Uyl+8yUh5tRyS8f0vd4anw0Bl5
SO1TAmY8EroA50TtKRmxSx1p8k97ptLeC1N73kHth7BfNfR8eTMu42K7IISlXpk12y90tgEIsGiv
35ZcWwKbxVWFlB89HnAaRGgEWaDmptcar4Fx0MOWq/UQP82F12lHqd/0KhHsR91f8f/lEibAFeNQ
QEiZgGfMLm8sRM/Lr6KJdA6RK7O7ta0tvmTinJ6Fi1qtJaDUXHrhqpgoD+34N0quckyQpI0pKZ/W
LRYCeQ+qbsDS1jmJvkbtSLu2qhCy7a3kxQCpLSP9gDJtR9/qa3m03jMYHVfuxf7p78P9iEOZncbK
fK1Kh4d0k6mZ7ekwrs0v9RUfyyG9TY1DN5OgsD+C4dQnvIwYGNeQX/q17Fhrxc0/2quw7q+zG1wE
addtm/OwV96rzRWgUP5bf4wnJkjmueR3zG64Vzc5Ph8n7ED3HDMneRORBj3VIAnwM+x5jWjETkik
BTu6A21vEBWyXbWoFbZoUfrkRbkwLqgBqhLUS4oZ/eK1+GW9i68doubBrZ9xUdPr81LM1Pdpz16J
RwHsCNbxGrYRqT3pjrKb5KAr+YjX6XV4rZ95/fljUbcvMRHb9YkLB932VbFtnoYnGjCcsaUDm6jF
JZSe8p3xIj3Pv+HoEniX5Udm0TvKgKF0Wj6Dsht8d5fyU/VqoqiXxiznkCMiyPeBym/CW7cN7sKT
8cOJU6+lZ7F9XVBoLxKxBMg72xVFhC6+mjC42JTwSD6XQfgLPkJUBVW7qbHD4Csu1uTyVXtD8VCS
w8zCmn0geBxoKhQWBLv5B+AFFZmm18A123SiV3SumNwi3e3AZGLkzjDf0Jb2lE/w3uRASZ+AJM7F
D9dpYKNT5ikvhKmE6+KH2fm6PXUtYTYr2X+mqqrO7bP4lTmz9WYCKfOS3EPyxdiwaY7I3omwyaAm
NZf+Vt9q+SgBZrwpxdpKtsl7RN4bRvB9dZkgwFhedU++efIQ1YYzfwCTWJACudxVF7lfMYNpMFzx
88ZJFmEI7zrTbs7ox/mvBdMEaZPf1HZLXGMOexVjiWTHHxMhmKfk7L/yiDqUs3MEdevcF+s+hzfs
UTZZfzS254uralWqBBes6+hulF9jtul+qtwrhreU8bXidBjdPXYT0nnY8ppnKHMPw0xrlFnuMobA
XGnXyqw6lGX4LpZmqjLgHi8JxSskc/c4GCHxs4tjwDTrD19Jl9RiizFxRybr49bjvschUPmuJUJO
s000cCnwFjx7+kppQUvWSDoBOyYVu33KZbyBJRXfcmuQxn/eykg/Y5a6fCeFfromqGI/WmKE8Wj5
j6OmQIv5P/60WmLT1fSBfaS2MWJsOInwVtVB78o5O0Vo96UjFNSZ3fIHZXMpNhVeagvpCOE7u7zH
0qbOk9P4AB0JKOOy/7iplJT4REgOK/mis9y2Tlu8Qs/+jWQayivxSInWsDyuomDVQlmsCSJaMXtF
5NXBg+av8knOlypl+MUnt683irrtjZ1Z2vkXsQTmgYonbm3mdlQShDa/a1wpVsiQCwzlMRkyNsXk
sRdRF6yEGKHdml+q6qfu2NvGSr7rd+U4STTi9gC56C/TGJUNN/vNX6eL4LbsRa0M9JvN/vOVMaB/
gKh27N7ldwqkec+zP8V0A21h1W5027pOodN56nt3rD6oOgkvp+sckvmGOshEM22Xud2/Vhin3tEp
XKQP/d5+gS4MfkFg80Kr78XaGDwZ7Jy+mio71VzGk/IvpLP/IOo8dhxXkij6RQTozZZO3pdUZkOU
pfeeXz9HPYsHDB5qqltqiUxmRty45kyTWmVX7ct0tQv0PaiDaXTVjmCY01fhFxsKDylzqn1HKh1V
ktP+CVB+38h++4186SOh7ns3LoDgXDqIkUfS3J7Nsz3qTvDe/pYfdQh90SFGDdW7tOPiIeWg3+Fl
IdgHwKxly4/mhtEBAzR8hUAbtT2MNs6/C3JZBs7UwweIhTNVbORzu6vOnhEE28Vau3Tb8DBCiTzO
ElARTrA2dERYtOLPCHcQKzX8Tk9dsp52/GtM8lA+W6VHegQv4q2Wa+22b4FfBeRfIBZGslURp4q9
pD364Z5VWWGx95UQXzJ6w2vE5Ry51IL3PTm4LK/iffBiONDINvpmIdLjEEDf91o/3irkfzGJtvtV
94Xxl/rDu9YKPpZOsUbFiVnZFzRi4dZFXs7r1/ziKlwxBEwPasWEh/P9Sv+s7MBRpJ3ExnJDfEf2
OGEmDHlHLzG5r3iCGFcR7wcUD1Cnfqp19toEdPjUVNg92MxrMw7yOwoqyVW34U71QnLpXOTxBMhe
odFWMaGbgDA2v9JHR1khlGSztQ7iBo36tO7vyYlMOeO13jI2h757Kj+iG4MApXTnH8NRLsHgGYkT
3ruAlelwXyxv+GKuiPswYaMjraUee/IPxg8VHZVAeKPD98AhFcfx4CZvmvX0yt2oV5ZfnQIAoXdZ
tdM7QtP8QPfSP4vAdfyhVr5FI5CyB5e+oGykK8X5pSKyOXS57VXp4spUY/q0hv4NC6VI16R68UPX
+hMkefXaAz9xcOYOgJkgXZ4zpdtTlvJpEC7s5ObfpDqKcNDgGtK7f1P80Z7qq2rzBMvwLH5OST2N
DgXSP4gBGAF034f4hxZ92NNHYqU5fiz7YPiE6QMbIuacILkJVWvtwDOlGUKR2H9qXzkCTVQW9gI6
mfiG7AXh7akTe/XFx7Qh9hWYCVtQaT1FuIi5yOYxpcXIbwAHey3eCdMJl1XPVFR0ka5OXxLEnB1j
pSfe0jrtx3MVfZi/oAg4d9xYGGmKEYIDAMQN7y+gAsIbzbf2xSKJMLWwJ8GpP5TF1b7a+ZLDY0l8
vHSTN5IfRDt6r+Cgp26ZUavthnN7hCBvIBt9rWQCG9kk+VyAExv9Muq4IvrJefxA0g2UoYcOONas
vaJWFAy7qD3xN2u8Fg9Av+eijQcUYgvHN072eOT8teBfmY+uIf9gjAiRMl8JwD5hvB0PFs204bZf
gekjlsHKsLfzByHHq+RkdHhR2str/oFdqnbMUxwvXUlysuySpS/YABavYekw7B+aVTge2ukJszwH
d8lxCjh7AYfCfSD48g3TMIacV0zgno0DoAM4QQ2Gul9eiYbaYnN6m92O2wmx9wKs5Uwd/oxO85Ne
eEhC5UY0Bnnei8Lc2c/nVR5tLUYtuo0rzh2Xgwt00Xxdw2i+5xcIE/WhGh+gXpxEgXaOLEoFjyOn
+TI84wiCxrAMy1uUGTYampN+ns+lhaM1DvNOsW8pFkpb36KLcllNz7e7oO/gPtZkWN6fOwUWAjfu
PI+c8Mr8zLw8+fbssKQyV1+cGi26qoTtBgE+EcZ449zTw3g2PlS3t7DPd8VfAtp7HjkcLb56zSWw
SnxmXW1JkDRBQslixqGUMgJdAFWMgZsW9SJ5tL//rjc3RvVEIrMc0Xx3RdEh/Di3Sxy64Y2vqhOh
vBrplbCHkMIZaDW2UbnOS1y4PeLqCe116xni3QoIy/zlqDVHJ55XQvamJztOKHZRFhZUE0Oi1bS7
l/Eq/3bc5huPG1E8OY6EBLNEdiK4suw/A4RHj39QVVGd2xbnKw+KbLPZR0fodfT+TKp7Hmu7+Ixy
bHppb1sW49v8MR540tiwYb8nmB4g45AOWXIXNZICHILsN4zWZ2a6LKdyQ4fKtRLQFMj+aHjLmqdW
ILZupaLOfG70Cv0tn53rrd5a0ncw+Sz3RLJXO+WDzByjwDXBq5ZN3TspQUCTb+anntX4E3u0x76G
H23opbiRSy/67BnNeoYniS9374g4wGyI2uY7s7PUHlgny9FmieEkmq+1L7xNAD+54cFwiKp1aJxT
TCvwI23pKjm2caSFGBM4cenAGs1kj3H6c6Fg7GP5XXbBmgnTJrsfDxwbTe3F9MmBo2OYfWT7tUdP
fwzsWtRQ8i6zfJ678Vdqb5bptwPd5VG8cygCCmLeN/yUlzbclKvEj7UzN0V5Ve/hJbyrPwQIG8dh
N8CBfYVljbDXDtcWBh5gv670nZzDXTs5Q0kG9YpnVOWArWz0YjVJ27Z4L3kwE6A4Xj3+UnthBNMx
HHI6UJ8r9n/NiSTtgfg+e/mauBSUc5fuRUNG9IAqTRR56AaXlo3kCUendIvlJqlcf7y2d32bf6ZX
0dM/atSXESRzu/kH6PfjRnrFguDPavCFdyQfk2pfKTbC9F2Va8I51uYn26/KsrxzSCLVFm9c2KB/
PrvtL7X4gAEXXRwOYNVB+ORIT7fw87fmoXqTUK/+YYhFptli3rtuxCkdBf8KxCblHjrBlkF8wa/U
J7AqAlkSkfaXH+n5PwyDiRvVnozGqXLr3h3voxc+cp4ACryRgw+jpDWilHxXEHP9F7EDWzZychFF
jwcODI4JWUreTnv5j11XhGlCgO4p3LHKulvxo3oFJqCNS8QXouL9fOkwMPtFOcEOrlcORnuoCBaG
H+Mv3K1tcq6vWBZ7zTcfEk+fttsDllaIp3F53QYbldJtBVdXpm3/MB/1UfWmHWGnfgHvbLHR0ZBF
DJX5j2OZXHIkBXdKL22X0pRss7100pbzDMsejNxRXIrzK3tUo6xlyc8YkGH2oz3LjEDaheY+quh7
/A4TD8yuuQVf1hcPJ2LF4ZXFIv/Incv1sxG/P4ItzGNW/316nROXB8rl8v18ZC/Lvrm1dzbFBPwE
/OYlpkzw5I36vnxZr0u7mjGQdfIPziVNPWEsEs3fHDSU/8Fe+SCGKdJ35jfViRA52JM2ySa64iMS
v2iXCkDnlqJcha3BctvLL3DLs9dh3f/iVEtTdkoP+Pm8aY1NuOFi5/tipxoeBETaPZwp8FXuGuYt
trypPOsQEs5lY/ns4QFVUIFrXvKQfcS6drkn+mNt+cXZ2k3r6Tq+SStzj2a1olmCYfysHPBboIon
TtPnbpD+IlNIeVQXEeqyL5Tfw409sn3uG3b2JTVoruG2oeulfQJzNiHi0o2x81FNVl5TY8hgk8QS
77UVfC3GAS8iCTuTS5YLoL5CUifumyC8vQPtkgg44gusVW5uysw3b31vFzsT06UC9bydolYjI9Vy
5dPimOve2BKxW7GxpmBRoA3bnhJZXmMzSoGI9923tG223cdILpyvja78hjkWUdjPihnXb43m8ETX
R2F6RdUkfcCv2ZR3Or4dA4ENjYVxr9mJDtkRqX0mEkyLZPLZarTvIkgrm364xumNtSN8Buvxbfp7
xnGUtnCo34TO77+7B+opi2DGS905PQmDxLQ/zJ34BXClDZ76KmwbaRVdp8fYeFrnA12UP8S+m3wq
0HzMR4h/7ZStvviI3OSYAQDgJjfcq/DqioiHRTH8NKarJkfek28AY8+YPrTIEffgPvNtXvaKZ6zM
W/0WgigxgqIYh7WXA8YAk1zV9GPgG8Wb8S0eb3ieWjPemeCFrrwHSf9et4RRX7rrP+mu7WBwwPwC
K2BTcmcgcraRNdot4adzjD/lwdAjCL08XGmM2KR1fFaWg5S5LcvCwcOzNu9tv6paH5ZgRBucoWpB
wMbn4YB2oeOskd+K+L2RI8RodWV+V7bkhG+IY3DPWkCmiWBu7BhHGNj3VwlLqYBKg4B02k5avPmE
BpaAVx6Ys/k9Nmv+Mn0BhqUG2TEHdm0Y9Uwzwp/Zh0voM1s810cImaENX8uvtjkPD6UyB0l40LzK
Lz/7h/bV7ZPBznM3/BSBkpvn9pv+lbOd/3Xv5vQ8qJj16at22+6wnIMc+qe84Iv00m5HZ6Dhnz/U
vwkHn9hZSMphPyE4bq2ZPk/asEmvgXDGNqevnzPOJdg24nlZjrxj1G+nt+ApErYZSBJpwmad9Csh
2JrpFk2fpiIksBnS4WWbDfjUYqtlx88z6y59Qc0tzLVkrRhaYk2JGdQIp9hcLe0bdLIaN+7MYUzU
2FO/KsKV/KwjmInCeO4dtIT1VaUoRxvGjO5NGbZMTXErI7GVRBWOBSih5ifFcXDUZ/sprN+MWwoC
5oU0fu7AA/BdvOdga4LLbllYF01bxQQLr5sbae+zSQFjJ98YsjyPLBdd3WcHek4iguimTIOzEwOO
0QKUZvq5pnHBtodn8UgkAs3XIfyQ2ceo7j0ZOvKau0cFnF7ip3fb8xMspp1fkJiDf2JVkfscZ15/
iE6JdmhRa8BapQbF5MUJV2zZR74ulXHyRrWcV/sCw5ilXFOjWZ/GPVec4pH+hLrHUs/3qWN55jtI
gIFlNa0XMFN+mfbhkfFp94LlkokI11oNL/TwDBSt9wZdH4BJ8lqnRx7pseQbeMLv+G2+c8jJmvs8
kAaSX7f5B3Jvjm9OuFx32VyHGwLV3/yC2e20Mb5L3a69NPJnGVOcPaxsfaW9oUyGeMgJy5OU+sz6
iQXBEqxr3GL2WbTPvZqbT9n74taNzzSZeRkUZsnuvjlAFQdN3L00PbytKNPIEE5d8QEj9SSwHclM
pgh9SeoR4a+XEF+tkCPo4pqwsK4FO7oj6r6lJso7DxYg/tPRR4bZ5bm6l+XaENYMF5g4SLjol7i5
baTkPI8PK/FIeIQthBMEfl2G5PdfKTjPSgfecRkLstZVrz3Mh2Kj2cIa6Ii1QGWHLdcdXHaO3Sd1
92acsQ7RTvKW41F94Mnjt6/4JlQ4j2NXd5chdBNdXOxjQOMUWAqfKmqxW/hYbhLBL8pHbPodH5Ax
BKOstQlOTg5i5yRPc8fyOaky9E0Y+QtCaggp0Yd+1L12m3KlEqd5iyEbJHfSpFUv/pwyh7Qs/qes
Zwi/85mBOQOjsfd1wwWypNxQGfqqe4anWBI5gccY661nTHmXzsImP9Uv2ZVDHXMOpEUuFqA/DIwS
+lFsFDYMHDBNWZMNoJ6S7XjSO+yynOw3eBVfiULLKLw39XuxIrreXTxQHeUTsLv7AP+vtiVeOXh/
75qPwgvIIOru8Y2vo7qB5DHlUDbRBhEnkBvfOzqEp+lApBtic0Cl54QOjSOLhtoue2leeDSnFxYZ
G55c+9pNeTPZuE9Tb0sbko0UeT+U7yIQxkMHjCHofvKgfWYTM1nH6AjgtKvfQtkRd22CCTEr44jm
2lPu5Ot2XqM0yXCASv058DS2l9HFJa5Mtwk6puogIfkxNn0FV9PrSR2fmGWg5/HywNdTVr8N45v5
wySvTALsycFMX0ltB1PcDcJROnCwNPOW0RdXz/g3j0s0F+uVlDBOuqT35je+5V9T4RS/DIQvvD0r
5nkTtm2ExpCtzolf213z24gsEY5029gn90q1zaspPr+dMvybLAFt1TYjQHi2GNEIL9wdviMGwAtl
2Ku8IzzroJ+gCTnizrw+06+x9/mBrYybK/Nux2BQiPol2em74XP+TiWeQTv5Y86x6Y7NZHc1caKr
cXyE/VFSPHK1Mf0pLuHbgKoaZNc4GCu44TeR2lZl0LlaelfpXcqNnJldRzdrz1/xK01FQJgfSiUm
OgxPvH77TLuA0vNl7ip81y/VPcttpDAbdgcRPxas+vZWCf10jURH8ngMardWqIHVc/grXWfmzd9m
5pBr4fPSX0KhqxJYwpVf+fcGn+8OZnVoX0kaujNSFNzyJrzr1+k9xP19I5Pa4MjfqPbjH+TgRNDb
2l0INyizVswW78a8Ystob802Ql/7Gt7YFHTxSUTTMDPrn03K0TyMa+YMFebg+Dhh4O/HZ2k1fqfn
juGbcO5FmxVf3ZV3lSFPfMtUt7qbX8gvNcCfXf/C8GTBTRRLkJUZ2/ML79Fdmov4pe7SE7ozuXEg
e1PhwUeZHstHs1LC56i1BWgAF70xZNYI0/Vgv8lvspvfog+WXXgTAZsd88TIp5rdfP/5SVudgjCs
CVChBvs1Rru714BCDrTkE58xvqlseLfkvtzgBmDQ1LODl/iLbVBOo62svyxeY+3/Mi6otc9WIeFj
bg93gdnoLQ9cxsoMbuFNednvfNP96EJ2EBXyxMELEcCGQnIHsNx1x/ykHwWXW5p8VDxYu9hvrtXF
2mjn1K3P00r9wu2WyCdoITt5rZ1Ny+ve4lce3WiLldklO44u00WI0WLswXsBlqfsvLjSpljFgyP7
ApQOYw0PD5gFYP6qsHlUzy/Rv3Yfw1Hn2zK+/XlCtjho75lSLm60EzDg4TrTrkd2cVfX2ZV0kb32
V0PyB75eow2ICaBI7B+wGJITcH3rNRt6B0Q3li/EG1AHhojGdrko8kY/UWKm9Yu1FXc52ydHT71n
XVbb7F6SSv+pf/G7HkvQX7YIFor0nkCnobJ/bQ6yK1GxxVREbi2fCapLmNTM6Bfh06HDtvmGarhS
6GxrB9gZIxWWiPjSXOB9Cozc6Kix00k+qd4rhQARZ1g8SV7hTWtptvhd73knyLKm4jz9LR7jDe8A
3ifGyLtl3qnugsjFNPQlf0EtAfBS2GVvCyDbEDFv3UHYpi/9BhaV/m/KT9d4lfcRKT4bKvWKrY+P
yIlJgxitzVdG2NhWFAfpHVz3d6Kq2oePYv+kiIUuHlXBvLFO9We04dFawFPf4IQwt8ECrrezvcBx
D33Oq6xTACMWPtyjecP8CvUAHHb27emtZroLOrUNHzA6hL1+ARUgfDP44KR7SdOteYFYdoHmeune
61dSKKijM7/6ZMfGNAYBjMLyUU6cIJw0+hbWkFpDQwMIdyg0pfoQ4ul7oco2ztLsTLigUx43l/ml
vWnncdessnQTq45BZftoVmwwp171hZ31koUb/ShCIOFkBv5YvgV0LS6kmF2CrQ/kNVLTHGAWql5i
TRRzNa8sl53grSFs7MGsu3kkDwv3EEi9IP62dceKxaT88kK3375lwaGIXIO6FsSY31rIlMhBsMly
tRzrLXmhYei4kSGBS7bu1efmmFBz0NbUDkLLUqZS9vKf7pNONR5WydH6CG4NpTa69GbT5W4krnEe
oZ4Mxl1RHYls07/17xT3eC4VF3FvGBg1rRmjx2/0VP0b0sBp9nQGV+LJoNjNnfQ8ojJal7dkXZCD
ZtPBGZ/CmZMuV055+F7DYVFYXCr91LjG9qgb11ZxjbPLqKyJr64ZtVKY/tbM/16pIXAOocwogbHc
GmzlHn5PqScHwBzkhD5XY2Z6ebkeK6+WnCld9RjUYtxFq6fiF2E3hLINa1ZZU4IuM3cFvGLWhHQV
QtSh3HUrJ/vgvXDfm/k9W8vg6frWeM8lr1qNX3FBpg4ogL7TdCxJng01ya8qtnFYC+IjrfGdvZzD
GpkGtmO3ed39TitUUTxBw3O2oL20rykU1XAdlSSDImJ3IxV/kzUmrqizoFGx82GoX0LiM2jaHOl7
3kboNJx4eZawdDfgliGxYl7EWVVDlEkAzcfH1J2MjcnYdFgj2yaCnHOasbRPiDyJ3eN8DRdXmbY1
JAh9K/c+FQkfOM/epADKaGULeJEnwwZFn8ShwjCC2lp+Xv5a9tITdvS5sBumC2m1cXqS80NerTGV
lyYcANxFeAjjZhzOxYxDk5MzgyQ9lriC4aBkX7O+VU3IYo/ZBK4p1pQl1GXUQhQJKrcXMISSnbJb
9syYnEKCBW0CWcdpb2GzC6ludmSUQ4Or6y60u+xNvVpn6EkkEeGH3TGwLtcCSWnMoyqfPKNQ3bTT
XpvgcDzYmGN9M9z1r+H8b7DfP6f9/835//1ffDAhv+S4lf73B5EZPtGRBj4cL0C1jQ8P6TbjCiHr
5t/v5kBXfaMzzqQCWBvTFL28BxhLWp6ESgCU05eg28bh2AOl8JNRwagfZ0nb1M0enw16xX+/+veH
Mu7YbtsBbf/7nbQU/DFudf3/X2Y1GBrUtbVC2gZkkMitJ07xj0QKDyDc83fN8z91CtX+33/mFunB
v5/++4N/f+//LzHV/mkRGQ+di2yU2eO/t81MhR3v+eO/v4olLI1JIqdbPHWaUzhspopuXJ0hqvTB
WuHDSiRDrZqxLf0g7FYzHCA56To8/wgr1Qsvvqf9fGjC+TIFhHOGJnetzBXtpBfxKcuiT0vJr4oq
fMri0PlqppKRwHgjTudNLCRew/PaB6epmJRVVGKZU2VvgYBlDwb4k5/Bp0vDYVqR5x36eVLS5IEg
WJj0aRm02FlJRNcQJFoaImAdXPCRPCjJUSApOB/KcTPE1KcoTjj6dM5NvY8ZXLX9tM51Jtvx+FmK
pbxTA2hROFrNpupxVzZJwTXSxMFvJRONManX2XjOO1naWRrTBxQTP6bILN5U/Ar19oxJldnMH6hC
CH9eKDh67JRwKVwpQkhhlMWMLGP4nRpsi5aEAm/uoTW2Iwdh2gI2j+K0ycrobUhkoho4YhCSBIwH
equqUFFiURMnWGtm9BEacmAo3zXESwsjcy2G5LWoCWS6gRBXHQcGETozCUP075K/LMzLq2gUHXkx
fpJc+8RiKnWzWAtw+0SxbcBMmEy4Lzi2bYhKxnqG0d6gSJIrEYgokfhUIdEVxoKO9YRBMI9zvZqL
H3MqEm8kZmOKr6Q4dC1ssWagDUjm0J3UZXS1+vnyp+gyjh5xMxTXoMSTCGvwC1YJuG4q2rw3opIc
pXwBiWsz8ti1r2lea4WwJV2CTaLEOY5L7rXYTdpSnC1enPdvgRhVmyr/ExOYD2jeaZqmbLSXVNta
zAIGRA+xBObQoEQ+JsSU9N1zr8mKz7hGbSEdkwqzhLE0IS0sHR15anzgKNGt5ED/siJi1OUMUMqU
YB6LuHPG0GtTvhHJQ5SeeEVii4GJaVYGazTDFL08ahtD6b1ymKZ1Ny+wuXGBEnJmiopOejQr0ZNG
CRwSQx1ZhhyZspklZvaH/Wizq8wZyTyYiBkTH5oUPB/BGInwNFSGPBm1q/HBFlj9qXn4k6AqXxUZ
Z1uKb70ts2S7Z7RILQz7xZy3xqLwlCRUA2rS4n3PWVCBoNUdA6JG1QUEpDqbgZx9apjSe3KTvBmx
TCEXwHU2qpuY0hIMQgGuPDBVFcENw4SjLVGsW69i+axUqeY2bGVJlWtYMcHkH88BC8kNBsAIbL7d
usLkVMJ22C/+RiHt91LKzq3Kimv1NRV5nMcrHe+zbU9JkwThtAqWMnVqSLelrMIzxMJ96jJxtTiB
xoFaDlmJqFbf6VyAoQY9zFHjowcGBQ9xKV2bMhT/pUn2fUyhkrdUfUWVXsbwM26nraTC+xIhGbDF
hmtVI65RZQwRpyNmmwMj0jh8i0pGyqVBimUpp6tZaXsnxhZ9Jfdq4ROHzGMCUzUcyJH+bhY1pgFO
X5tleajpeaoYTXXMEKd0hvzcs4KjpwpVAMQqGXzGlkAm4ixeDJUov1KmhUmnb9EQ36eJe11qpJgI
c+pBy/5qS3r7bRBhTCHPyslUgRwF9VHoEmf1PwrQzMAlESHb5gUcXK25TrmgvqfAjbLCrNIACybQ
2c9UYTtSRMiYAdhGa3bbdIg/MLlIPER0OwyoDViRC1PrgQHpFCJLCGCJxHN9sSQy2ZCh7kqFMTEJ
InCoJAUv77ps/EKYTzJuxbKOvxHW7bQ9jfK0jSsgv4MZkixoUDLEi09iDfIbIzoVUigfRbl/I8Dz
Thy6V/b4VnaTSBtvgE9E5BIc84oGVGNov2iIgMUUsJ1uzhirivdlf5OF4CoEIXOKWiD/2M5QMO8i
jfoisRiSW/uALbI038QUmDLIsajUUShIydytEd97gp7drekpV9D7j86Mgo1oUA6P+lem579zR8C5
No2EKIpg8OSe6IbspgHUElnOIxf5m4Q3M1RzwhTJsFDpl3oS4GQ51Mle6y9x1Ua4mlgPlRw0kGZw
Ch4zmHLtBFHEXFyyyJ5MP4coSv3JChmLRN9kpj+E8A0LscXhIh4fYn+dsTBsy+vzI24DI2JRRbqw
UubAxjlTY51kj9hSIj/C4oLsYmY0DdkOjHHgeGD6Dbew41HMyrnzrZ5iumDwMeCbDAVadDATEpwl
CgN/GLQTbgaQmzW19CzCKnopIoujzbAmyOd1wZhnNNuVocoLfnULxIZlxHImx3QizjMwRmPW/PyZ
S8tYg/0Xg4zEJYD5VJDuwOnd4pD5hKlJ+IAQwT21xC5HlgB3RajIh2sAl6sFyzFhBvuSA5EhRKe9
ZiKgQW7ul05YcGeEPVGObQdzCUF+NSSoqattoIWZVyLPxyULaV8SgvJXWtCTtYq1RUAXhg9AzASN
FgbiyQhlITRBDZW5SX2juShSJXiRJjIkxADeSVRQj1an9xs4YW2DwVNkWDMKxIwZpgAXG+ZIPQ+D
XetttQpxMLANXTvOE5hxubVmbG6Knvl+bKjYUZTcmwahTCqULWppLVnHDNqlKfPjAII8ppivkgm6
LLC+vQ5ArUzmmCZRuFtZa7qBmTPkxKW07tT8JhfJQ6hxgZ3YkMO+HcHhaUbEQnb7ENFL0SboljhM
8sZ4bVNNfuTqcVYIVMFDbi30AJizmKLY6jCWbRi6ViZee6Y2vs29+R1k+Q2biOWY90O7G0NceZkH
yDpp0JocwjS3aOqHHBSqscy9VeSfWkB29iAyxS+T80RuwVZZ+vvMCmSxUtZQ3VVju0LZCvTKpDHB
ys3Jqb3gcREVi3MHYwj1DRerlSVAYkuMgMY3BsNSREK3l1r6UVLtUTa15E6V6E0jPkvEY7gD/Yur
DYQHVJK6KlKoC1F7XQxjg2uFK8WQGmSpXpk1tn85QntXCVGktyNOxl3nZfEEiCUUxwrrFb1ZEIwx
PKhy2bcESTj1fH6308IGLy2ck4TofZ7MaK2PTzfoGU37RSWyh4hF5nWytaxqY/CGBv6PSHKtq4oZ
tsJtsiHMHreK8UxobEx2eLQioJRzMILFT8gbMqS4R6z4bIGEJvPwDZXagWM6to7hKM0bg2RLu0lK
l8gPyxcrhvRZlOBNQthpnjh6yHhV0xEyitKfNhLqLXb8tfAMDXreUd9xwap7kJObWu+tqVNvi6yj
u5XsKkeStlCcrJZHlMSqjwJ8WVvStooZ5hBP6sjSou3HSGOYgmWSZMAVwgmFyARQ+qmVa/qccxXm
CG5npKSthjEAjtpmlRPasRjwrsbDZHFKjMx+2lqXHGuGDTn2D0VRkk2W5WeICJOM7VcNob5+5qtj
JKZ4otB4BWrfp++SsZmNeqdOanitEoJyMK1vG6iKpqLqvlp3H4ZVjfvcsnazRbtiadVqmD4K7SBX
OFAhFfYEgySmYo7po43XSNJuXYazcc9n5TIlsAkJgKeATF/m0PwiFURbK7Ni+W3RXXHfDfe5ylZW
4CelpQK+clxQDZyUJIlNpFXvmA4G1HTtWy7HzDXE8hgHtQYJeCI4iCAwYmRw9+64Cjih0pQQrFkr
N5FguSoeTmEFtiet6tAUfbMcHKujcqqLZT9qxAuPOakH4VeQguwE6ax5FGN+0VUzLnjSMY/wtxJw
FVd8nCWgHFeAaj1dL5u/VV9Ei4lKF5ftqnoye8kF3VhGLThYwuPkjFp2GQAxQmrPFoVIrc249+WI
Fc0Yl6uklTxLq3e1mHsEzL+Tr4vRdiasUgnsCNd5mEIt4Ns8C+cGacGLyNBsjNv3fEpaJ1JGeJNj
aqw0iPnpTh9kWmh52OkK50cXYRFnFDk/zXDnxFDBuCWGn6YRQRPHUDWaGEOr4VskGIT4uYJveulq
NNAjkrJImkNP1xCHjkMMTXEOEz/APBgSeXrD3SzGsYtZLXeDkEEt9YYM8yEpZ2JEFw2eT9hSTNux
wa/nLBk1eFfrp+K8FeBNkFleAksS8UmXCoU5XzwOLXwGxg1PsnVtSebO/Gjun4gbXEEeHjhOVY7b
L5l9JTb9QcNYeY66C5jCXSCIjwRAYa0E3EBBasBApv4j7QsS21XTo5onabUT98HMtFbUcliQwI0z
ZGlNv+h0Q1tJu4wiA7FkfiRhv7bSBOggkjI/DwnO0njYZdyWxldNElSHlClotdZTL9s+EHdPO/kZ
33FSi8LCxXdZ15lKOnGsRc8kr8swSHTeDcVMoCRAobV5VHSw11AID0RKUSxLLE7qUgg57YF1nrtm
aDHftb7Mpm9Ao5KdJAxn3C0PfHG811oaNmFs0bAPNWb4pBQpabrCWjl3e/xGsWKHJWiQ4zfBHh+U
DmrJzPUVn/c9gE+qYCskB1b2KuqYeEUCzpndU6eY43iYzbgy5bWwyjqNWZ/I3GXCNAojmI1KSJuj
pU12mJ44X4svWhN94Wm8beYu3Vlmy+owVcY6TYjKB0qrSVsRzgpD6wW17agYmyi5lhk0hjDqvglJ
+FMawIG6o+mxmKtPKrlRBtr+YuTqVoAzfthD2CGoK1wJJc0FHkloueepWXMKIIBuFHi68BH1Wh8P
UUmQj6WNTygDjbcMKS6Wg94jRAnC6iIXm76BX9erS0G3rTqjApscf1Bz1cNxaSA+aiUW9s3Q/M1s
vZoVzfu8xz00mRsdEiPso9HSAlcNgvHYptF6GJbDIsrprjDh/U0LkeF917pVE8AdDGJPS4JL2kC+
JlZppzzHOxqGqLaatw89MxjBia4+vi4hrrwYgjwGVYHMNbQY4Qcwgbif0VoVFlgxEyP3Qst3StEj
lOrgTs8z6zoXfEVD1zA/lAyfWkxqMOOqYFa1HAchq35cShHLtyhw6YJfoWZUYiN/L/UtkmPJe+76
eBlRllAZx0cZl0nEA6RdQOyoZBiG1Vyv2xQfG0kIbmKDQmRhLswXy6TsNdMVf3imrKGtEJR4R1l4
ATFZIFuMq0KU/9gof6KlxkW9oLsjGlHiCcjxolcFu+kUxmty5miFWXp6bNHQmtYLLkY8hDoL1WBY
ONLDn/5H2Zktt45kWfZX0uK5PBujO1BWkQ/iPIik5uEFJunqYp5nfH0vMKPyZkZXd1WbRdBEkZJ4
JdD9+Dl7r22w2GDOUl9TGKIJQfjeQqRbG7J/w0HV8EesqiN8J0FiEgSLIhvWooyYc4gmuBvlp+Pf
Y3Eo6ElBfWvdleqNd61hmNLP06PxVfWcXBJZvxNqSwAgUYvWq5fjLcWCtdcadB5kGH80Gk2hCGZA
lEfL0Ogpq0hEWdVl+cpbjgaTB1bP1Ky3ymz7G91EeKrJzEDmrn2asn+YKmYajYR0miMFqCFRuxCv
kj7+EUBCvkxI9Y2cUVk+n2NtjnA6NVzR+0eBccLpaYEMiX70ptB5sCsGIj3Dq5Hml2+G+knl+jKH
y7asO6SacTFkD5OpfTqFHnxytvlhE5GW6vIxc226mmb9g/3tLZX0XuzGp8o652VbbWln2oM/rP0y
fLM0C13Wru3ZUEMLM2/d0lZjaTimKFzGDN8+uT8hMMCN7VPEKFgNldmv2boYTVj5XvUJRCi9+/QM
MnENlOK5R3UyepWH67qDZZzoa9LUZk2L/pF47lM2RfhXkutixfDJG07hkLw5et1vJviqx3KAOUaA
p76UoZYjyCk/ut6CxcS7PIe/uBqB6h1clzDLiLoln6ps3eneLQtdRMSna934xM0hhtIfC7fkbJgO
Aqknpji7fWXzCu/ioQF567gPDskAK2/yUP2X9ZOTZUs5EpU25CW21Nx8sBrWv0y3qmXik9EkNLFB
o2oU2J88J0nZ5+jxDKx92aBVUEc6uU4ra1/lmdwqlAdmotqNJyhCHZycppexCqUafgSqJC3M8clz
1OsCVhSnsXZEWoKQ94tFnEXu1qS22Pu59RWmwj2HUXGZNEydvWEOa5CpUDodHC9pRiFvyZWMSA0H
K0e+IjNLN4Pr+9kjPElZ+BecCEu0vSBmVc3UwXsxM/J6JxORfsc8I4g+qiJXF4d2NKeG8UZ26tlF
fJdi9cPzYo0ruxA/M6vd9NKRnNzEWbXVD5/G2yqv0Er0hTltXJQYUNT9RelRds9d+1xL87WvIMz2
ga+2vTfzegdweooZqU0iLaYNigMlUBR7Ag3CaLBi6PSv/KkykLIOoLHa9s33xXOUK5soUU7JQZG9
GuOUbg07Pnge0e5jj/3QbGeRZdOQ6YuPX/QspDlEsa1ZXyrhgGLwU/ocfmCv6/cWclpVj0yTph5T
h6zgFdRtzWYlwN/peHm0bKqXdpgx259oRwzscItId5NtZGhqVRr8VsWgfcl2TiJL7TcX+HzkRMV7
JAdiiMTJqOSRvfbS85d9Ljx7P2gmSeYQ/vZRzXswnWnt2evAqXjrVXBkBGqG7EiQx5cfIX1Pexb/
BlsWGwlRU7Jjf5blV+KTGxHqDvLifCbv/NcfBmN11zezocq20/3g2nl0vj7dL5UzMqieDxFdPy45
+BOpeX3SfPPrblpKmAjX+3//8Prl/+Xjv7586ipe16/7ymHC2G900f/kRwZ4JKBmXwHd14+uN1co
dzUDwH/dvX50/dz10V9P/tPn/nT3+jwP2kzRfemgDYk0k6sr29uLC/414/xP/PuH189e70/mwEMi
hfZhuMSgzK/kesPVheP2130xef95n3QWeof1MnxV6QRxdRILFxibsbBoZe6JO574V4pmZ3npTVJA
GPUGggKvLNu0A1UXaIG9n2BxL12HkuZ6tymnPx6I56coCdmVi2r76wuuT7veFTSFNrIPDtdPhbZl
7QmjxsnWajExtSbcnuvzro9cb/K0YnTLofM+Ck2M2zBIuTu/jOvDjWHbu9z4Gi3DRjDsdrhbJVqB
EIrYgcIBytZMK1Ilw3wvYS8uC6a/VtQ8NBEDmq4aq4XMCQ+73hhDgyAiyKsJfeOEQgTqjMqbH4NA
a5E5Nt3PSAciyQZuVUzMgrpmXEhkRwxsbBvOFKdoBkVl1wt8vnv9XJr2SLdbBQ60Aleb6x32husj
nZ/p08ojwzDp6cr/+rqEoF3+7q3cewTHkw0+f4fr9y58MZNHREcKK5jTXz/v7z/l+m3//pzrQ0PD
JEXvM1yh/3hR8T9e2fXZ1wf+6Xv/Xx/+9R0KJ6o3blvvfj33n35mTqJJGFeHRKcAhpnF8uekgBQI
oFwGvvvQWwgXDR2fnRqbY0zrGZwU9IzOISUnFSGtyw/CbUnNLj2mAnmwg/Se7YjJq46i7Zkqxczx
SZHogm4VNQkJjuhWyhyUF4gV0sDER1dpP6UVpPuuZBBfJZT6FZULJ06bUzakAiElPTFmlobHydPN
zAECDAyizq03HrMPIWkF1E1F4819pADLT3HPkuaWGtJZjZzYJvaWhd+VmJUY1ndZhfDT4SxiDUAN
ahgeWfrd+QRfVwUaKGqBZRuPl5YW3RK7POoimT82kgFCSRQuSh+wLnTJlhTdzLsb/IpkRfm7ctAf
DJWdKW/rxZBoCBHCaJuwBW87Am2gpcLg0TmXaWRsA3PEz5W3l0TP2cxCrz0NOoOllgmmbjKma2c1
eEKuapcP45I0jwHjGlpieyqI+MEgSViVfQv3Y0Qo6RSiuuTMFr3oHHhTskgnFwmN3vyw/Zigx6hU
S8PVD3nQt8hPiZEn+nzvOxhANOW+xMgqG+YgxGtBevVbFD0EDBFh/dESwLOusvpTU+s4SRoGjTYT
/Ti+EDiNJtou0FAH+HW9K+Y49A6W/a5s88OIW8yzNc00a9S3tkQ7HuQIA/JzFyM3VEn5gssgJfMO
zknV+P5N6dAn1WPSLCO9ngBysD4IKx92peLs4DODJeG9OqhenJgTVF3zWGrUxTon0yaDYQIwesEw
+NTH+rE3HRv9WButGie/FQ2BaL3tnYVhfWbl3Lfl5QguYZojBimJUQsyMMMYE3vZT5WEh8TrMY77
pbgNMnpobGcwhYgoX8vEOPlQRkytg6pb0w4okcDARTYWWay/ao35LWNi1XzMFXzpLe0A3jDBdEmF
fOhkNVzoPRpgkFexjQJM2srdKng0Jc2QvbC0EddUHO90h1NQ5oqD8h5iq7PvmsT4aRu4+MPkicQA
FGQyQ7drvXW1Bi6lmV6CrfCJa9MmI9pa8azrlc0Xw8D54NeLlUOq1aXJMfGZbbIqIlY1M9UnhivU
rGbGSBsJbJ0pbckYy1jlsfryuyp4zmlveZ5bLInKXpc94DaPvu7aS729FockwqVPxkzkL/kNCbKf
aHXm9pOeN8ckddHAEZq6tNIeW51lbzszcLZN4d3WAUEnlpWxjuTkYQwYzDFhDXX3VibVu1bwCtIC
EWzq3RW5fqmDgaMfv+9OrDqbUtBsxx96LAVRBvgEjJoWngh01DTosGKS+5aR7b0GIaLqKdNg6oD6
X0BVXjSBd5tPkl4v7w/oEeKL4xqKCm2XQUG+8duDhcKux9hTVyCVWM7XZg+NrxCpj6Y2LT9TSdug
hpC4NCXwPQt9m05rD/FLXK/VZPUPaVOhMowQyvC7RcDcBOJETQ/AT0d0O2aHRoX+RbXsyT5jIcsK
/fVg6u8OiYioYTL0l0b8NFphu6njOS4mUPapC7yvhhZaS1zkibCG/jC0vK6yjS5hU4APJOlhzdSE
d/fQdchixhu3ozMFx16tgP+u7QkUd6Ga/rHNe8aW/WNZ1xra0uDbMMnuLWkWrBsbze+gGzo1PN+U
KTEaF2Ki0ey47qKaAel12sA7iYyV6M68RGNp1ETgVS2tD2uoy00Go5IxPkpY8h8Pmd83oPNQkyLk
2EwCOHEfYaqABpTGKI1lbac7wwQsZIvgnCdUogFIeXBefbf2gKzvGpLaywldGMOqJ5LXMDV1d31d
TwvDofcxFsSqeppv7QlP+oogpdJoy34MEUjCviLhuOi0Z6GVNb91ePrChpRZNuNBsx2Mba1ad1FL
Cz83afCYasaAZpgtyuFhaAz04FZIt1gsJ6OYDg3imsT209tZZMaVq/IuPMbFlK6qND3SJyWM+CpA
DyFmRxCex1JVm7ZB/98PU7wfK/7Q7lSDKw+B0xSdRxtheFMxGpBkGM4xfft9XzBYIVEGaAbResIE
1K8NZCIgeIWX/5ZIhumajG7bSaCPHrFaSAMLk1aZC99GCj9247GtomRfrsc+vSO3ijU1cz/ABtPM
b7D4yuo5drQQzUzxIBlqZVMIRVSyM6dC/ZDzW1UajHDi9Fj1vIHo2VHtTcOnp5WnXhsLoDn86yMc
77qGJdtJsSCXwSPJXLaOVJf8SXQ5aYkQAQoo3w6gtwRux5gZG9T8uesDEzmz61JZj3nd+OSY269h
AtkwInpn384Em36+0fsYM4WfPQUiCPZBWrn70RpeAwGoos7Mca9T7SEv4aYStr+yU+QEETooUpcz
fVe6JC7N3UMCCzfDnNGjKQ4HJedIp871DamyfGq+Mf7x0fXu31/i/AV1GDKYW10/0TUG5dwwv3Kn
1x9FnAD5Ub22dPCWo4t8SYdm5otnG8rHiYbTGDd7x3D4kEE64TMyM5e6KwCQVO4mg4mYVm+mj/Zf
d9F5Xkv6643lcCkY8831Llh2Ougc2JZWU7X72Hv3rRbE9vVFmXXdEy841nfBfIXHFvtBE8XTjZxz
Cu35EFEaoEvy+eb60Z8+RxYe+6bEYFQZEc3Ja7SRKChpfbNFfRkTPNG2HOiy+W/566aea9Q2tP2F
xsR5YZUMO7f6TGa9IlL92OfMkmmboW5gJcw3kbKRMl3vhzOUdSrpxriJuZWii9HVq65A8QKZNa3u
u8bRd1JBLHLmmylByCuaMln05HhBqgIWu28LXGdVbt8GKmeBkIaxH9vc3F8/qjRh7Ite5jQzaMX6
MyO2hBZOLWZz5ODe9TVcP5IcdZfSQsIVhEeyufV9Uzv6Hh17F0hvZ5fQTIwY0a9PyLZBu9Iad4F5
z1gk32e6U26CyAHKVr9NPXUeZ710wdig5E+Ya0vPF1h2VG3uC0M397UJ8b5lD71pJOoDZbBUzuhk
WJeuAtc/88QSD5pCgaC0YFo31hY5GR1nGeaYl8Lzwo1OtCgtbo68K7JGf/bzOeZ6084f6b2HmH4y
aQz9JyZXEVxIkCYNkStHPut07EuCDQ2qV+EixI1CFM7c0F/d5c2kbwbmo/tpvrn+/q93TVqKSUoz
h1+3D0Bv/htQuf1x4w4wVBy0AovJJapNJRyIjMBEVNpv8hbFS0nB684g4V8X4PXuGOEpz8fJW7a1
82Ca/VtR4KnrplkrGU1RvQ604dPEHs+6r3b9UBz+LbW6OrAaMZwMYISTu6O5A3zTZ+elZw18Mt4Q
QhGvFO4w7X36EXCAiGgTrpBXw3NcuY/lp3jMD4ymNESqKLXnWhDmckRBvMDRpI7B0/QGXuzHcGZi
4T0Fjylaj40aIZwu0p9AFOc35bCh7ckEscCXxCiAhF2LgBoKd4bl9FjXzWs2A8dAkKxZ1KcHeNJV
D+h13WobqI5Bt9Xup3PzlXN3RDZI4NmKwKWSGeCbwdtXJ1Z02bzyoySzOORf1Y12jxmNIWGKGxzh
jTyGnzqnGOypLl80IWfAbywOeKeaaEXlXA0bHCGGRXDAF2IYYDUFoNFH/e0OgNUqvBAyKW+wGSO0
eBR0SsUa23k0g6ac4/jlX4wj6jTABSv8sRAJEkavPwq2MxLuHuQP+2Q8iHdz7z3Qj6fWq7FjmbB3
yV07UjOwrBhv0ct49n4MeMNfehjYzcY/6uHOwsDfLnoWbclBcm2VBD4vwPX3R+CzU8Gh+yZ/5TrA
AT8xnWBqdEwO0SeOy4JgkZVurQnWsOAoJegtMPYCeGjFDTGKCgUKHTViUi5UYqwbSOLduyNqi83w
6Zc39v2326ybEan8ccTn7ZRshlur3LrqQSSbf8K1X6hI/Dz7S9amlzzMmvr33wwHOjt14fz53Y/f
f0N4otka5YStHKSpum1LHv/6uA+Rzvz+m/5vRTn0UWLqGDW1fSGQrKzin+KQb+PPdu/fQzlN0C2s
Ne8SquWYbmgrqqNzO31xhVDXotFLZrbLKJfEAnqUTeSTzZzUyN8Ezs7LLjA7+wKG6tIUG+ESUOtQ
N2wMJH+vEE1QBj5PP6H7rdN1+gaF4xYP6LZ47u6i+/SxeG7oOCyMZfUdkbHkvCYfFgaXTXdK9uz9
6DA1LliM9VtzMzKR2Kg7FjO0BqRfsM+yBNzg2zcxNo0bIoGtJe+OBZg3lKWThTuqeVa3YJgHutlH
2a3cdv1ddT/kY3oExxv8xJiAoUH9xAFFsIc8cEpbAkx7iz4RQ2oEyiEtvukfGCw8lvzRsdrAKuYR
3tXwGgSyfqRkOwyz3tG+45JtGD/eIzYrX5BYOKd8fcIogVeX3nDC72+PJOpNhRTZ2+QTrf5a3JnP
UDDX7sr/nj4JVluZm/AxmTmNxqtD0Oex3WnbYGOd8IWSMVwssE+tsN43d2AAETynLzlkEVwvKJtW
yJ0xR/I+VbgBPqPVItxlNrjWG95h43lGADya2uIbMFmoVlQHy2YRLrfALIF9MsEOMBAe2tl4ccCn
AE59pZPsCciHSudIixy6+Exv4LJFxncal1QZS1FuITLs+Cf6a/Oi/yBfvtwOHxzBeals4Bt7X76N
B/eNc+WGym1Nbb4VOIaWM2jh9Ga/oyREIbraRxtn9d9c+dp/deFLQ9MtqaTrGta/XviA7GsUXUZ/
MpzuhGeJ8GjWGC6vJ+W+GrPClASQZfaObQZlE0ajJxxJ9Uz8nrXK/82LIQjh/3gX6paF4lmzyD74
87vQjppBVm7Xn0KDXiH/EzIaZKuRXxGINhw27B9LfHZkWXOu8s9Fc/YZ4GKzfMI/Ep6vL+d/fQ3/
Dljwj2Wh/tt/cP8rL+bKPmj+dPdvj3nKf/8xf80/nvOvX/G32/Cryuv8Z/P/fNbmOz99pN/1n5/0
L9+Zn/7Hq1t+NB//cmd1Taq4a7+r8f67bpPm+ir4d8zP/J8++Jfv/0neBUoEzfmnv9z8E/74yvmf
8PtvL9918xcE5AT4hR//nHvxx1f+kXuh1F+VgV7HcTVHuoSrsqj2fOnvvwnH+Ku0ycMg2sKSBk/g
oSyvmuD33yztr9LU0KM7ypWmg+rzt7/UeTs/ZKq/6q4jNY0rVbNIzHD/f5IvDFtX/3q9WY4ple5Y
tlK6brmm/qdV3x8tJOqRH+x6YUdkW+bfNMtrNqbwXKumOvSmmRCJkOPhbNuPpnXSHSzpuNfbU7ce
A0vueg7e9KA2YYueJstoYdpWik2499eFVB/0u8/tABI+l4PH9u+Dai0Lb5NEtCd737sN5aEYSTsd
tb1hjhzffReft4F1x+unl/5DWnaxmlo6g+20ddqCpdcvtr3WGRi44nKtScrfBpgYJWHlDPnOskS6
7Ea0S0bWfzDkIqTSQawqGRbp3nAg4RcF1AQYUsXEJgflOe1wLOluuUhIQwjgmtBuwwYe1MEm87Jb
kevl0oo6idXxoQ3ScGnGLaYrq7tNNHO6DDIXZCdKa1XW8CLqhjm8PsbuomgKdzWYbrWw9SDdEGZa
3uRzeHYSxu1NYQwPcQs7g4SLqhsQeGRlCDnmoxoTWtSktpxptaA4MqitqOPGFkmxHIvbqkeOQPaz
WMqSAkunQMad15RLv0ToXrbhug/bCCRHgda58NfBNA6PZufcpw4kIKLBdoONCc+w61tnJk9v08J4
LBiBHcmIfqStshobpBpBf2dj6u56ybl7Fs8yr6jKZY5jFvtniH681MShL9yzzKfbrnWfNCKELbBK
XcEmHJsVh7KxWorG2c2PmozraJbTI83q9z5ysVRnxAY0KYn1LM5gQir2ccmgrkjyAypZIGs6M0c6
Ztu4kfvex/c5cpTCPpQcHK27NTrtFQlafJxGAy8n6d1rCnmIfQCAQ7TbKJIL2Bf0/XHAT7TCHEjR
ni6bDW2vdd4FUDJqUJU5FzibclrTUiFGuQ2T8pWBMFEltGMU+jHfz+kgaA06UHgRJR7YfDTmQwZh
zM7whRfiUTOgyzEch1Tlg4Gq0Pp7mnlf6MYxJt7ZSNxzHge00Pt3y0cFU+nRa1kE1bmiUkW53m+F
6YEkbGmdh4OzaglcxgrsUkrrZDqIODjWNlLQJAzWfaZvYg3/hJ+V+7rDEWv1+H7GlhlmLCHpmKLf
tL6Hcax9MVBC7nwvj1ZtQCFqK95mAzx3oeobJDtHrxJ3nWGXS1VWZ7R1t/QUN4hE+yWqDOwJhAQk
qXJWehg8xLXFgHlCbYD3BtWJIkU2LW8VpvgO/TCHD8so7kPCIFNDbHKLukIrph/YYbBK5sYP2ylP
njeu3QzsJA6JdNMmSLI5UCOvmKp+RQ5k8NrbFy+RzdYdmD90U20SNq+2QcfRJX6NovvSns8wsKY7
ZQCA0u0THQUc8jSzq/El04fvUXRqE3T2qZQDGvPKWCsdxIvtjOsJjeEyGDpoWwEHqdzOFp2Dn79q
UagwddATkqWk59+xVMPuhKjWnT2DRn/FzJYL76SyHIdhLDk9FLBblKXw9E42IVW5iYfaRr6HBHer
1R/uiLVcrz+GoU2XSqNs9rUPbZr/QD7GG52zjvLajeoClrKI6bxwMqRmfvXVGtB50tSyQFYB1DNc
45gQwg0W17sfSpdTXkrrLHlIg5KjVZh9jO3V7Bn4+zqDClHlwXeBkpmIXPMc9tSiianOpu91+yHo
nxX2uH1gPXsyQkM2JOiLnF1ITttdx8wqLjqYALN2zXErf+n6ebFKgoCWaNEcU8f+ltHPUMjnZJqF
1aPbYNU1vnt0oX1KuT3KEZKGrT0qogyZq335odmfTMIWYdRqhCgjgzANqS9d9elkwDbT0SHJAaZo
gDrKjJxq6RSsTGU+zb0wrOwMre7kBoFwdduIEahsWPDXrcJ049lMtxqs5Z3AcW2V2jFGbZbF5mEo
WpwaUMWrwHpKCwhXZgARFMH0SHN27zEUcnJ6JKZoCgIeOXaHtL1nB4xmqva2TP2nUtvWTnnuwf0j
csYzEGXYf9glUfMYd6mrLWKLw35ZpD0eMtEtdXtl2zbDW9e46Yxh5fcdgGIiC1dlzDFX6nLpjBlG
6GpcJK5Pozl237Ekddv0p5s0r5GDMJWJ0109FsMOkOqEgsmJx3OinawEk6oxsLw0nFsCC5ErYjLq
Yw1fteZXaC6J9vDcMmD04h9K29MuCbqvyAZlkoTP7AVMq4m4Q7jj6/TpTZJa2NZQHF5MxqWXHGUg
YnWQswohhmEFBxkIlI0q3LUNykomw+DWZHFbw4yS4mxxxo4C2Z2U1bJDdtrB0tyHsBbmPu9EfBGM
3y8i6dOdiOQ2KOqtHeGLbtqHSZVPtuU+xh4Xih+/4MZz6Fb2L67OZakPnK6KdtzlqsQBIU0o2GJa
9qa7K8Ni2nb1jnWVtrHABTKVZ6cPursY0EePS4xO9sntRwMdlAN5UvG8agLS1Ll3kynGO68tmeeM
04929AACDpiWeau9F1V/3zaj2NU+17/LZCAtuDCpOXoQYRxRyZXeBwaO7rZZcf2ebUaAeR4XNGJc
sovwC91YhBfQtV+XZNiX7SgXshwdPAL0nzoLXJHdQ9bunX3N2Jk2Y4CW2XysWided5aFhxpuYIIw
vnXddhXMY5E2d2Z91M5jnl3Tuod/nh3CitkaAdULNoXuVnWvIQFi3gR6Li2RKqX+1iZO/qyRkhqE
hv9eKoUFXxfkYnZ4XPIpeOpy5DpjarwHdOj6yWWDBzDp1sOLrGLQYWX6qMfqxW5J1UBYKfc5oaBb
E1XdqmwyYyvdpl2TLFhvcx3e6RB+2GLqXyvN/8oJSt5UTrwxDfMgy77mDcRvTBMmpynDfeqYxavQ
kUdDWrggMCAsJaII2mHGc5pQd0mZfESzPSVpGFyUPl7TEiymEN19OjZElnZozcvAX+aNt1RTuRt9
zJf+wAmcrix8O3N2eLNy1TgAb/PI5LuoqbjNB3AaLXTP4lPzSvNkZuLGVrJZDuEA5XFsdmkY3IV6
YR/iwv4oOsyzejXdhQIhIJ1jEm9fx8JlRSzfZQX7IQK3ZAaeBy3DAAg9iHo7quC2tuL6JkimO8yu
kEDMyL7zHP1nmgZzAg0dLR2jREX5RHdNRbsC/1biRMMSFVo8X6h0tteKv/NuTh09Opjg7Yy1jjyO
ap3WHKibGgCB49tENcTdyJiOblVV3fqeStaT+ozigkkI3qMNtqkkNj6FGLpFN0eXCUP7rH3j3TJI
Zq9FeE7YRUF0u0hrJjgk4pxps3avn4B6jfhmy/KsqxppWhvdR9OpzIM7z0Lj1kjmQ0Fi4SN2nRBU
WwUNhTOkAjGA8fBuzFCraS0kxVIDZVVr9/nQZXCBfeKGKdFdh32sB2dkG/PiHmHtneZTQ3tvM9Fc
DHl1p4gCdtLm1ovpzmAhabcILNlePDDHluCc69qTyQC4E1tWpHY11RPKTqt8oeSltquxV5pdri+y
or5gs8FboAuXBLxgV1hm+Rg3hHVlTNTg+WGwqk3h8O7m963QUBR8je8O0GK69mlQOvzrDIxeSJr8
emrSEQQT/mCmkDfxYAJKmIZ+6UVGu0/ET9YYcPZlm75j31C05z2zfa6wAIhIUaRaxqnznVkBPFv5
phzcRVHtxo5078FVGCJtGmcO66piSMUsd3LW9eiYRLmp+IypaaKwbst3okfRFZtFu508bGPYvYOV
TEtr0Xn9sxWqzaQyhn8zM7lJ+1eviL46h2o0iodzHXTfrcmMLbKkv0THctE4bBztlhWFDKwh9aF1
e1Lf+fNDXH+5Z9U72YeftdkdNIdrNOYNsGS88BnAUEltfpTIkdf05ctoj99GGd/XETNqKlaAu4Nx
rG8tYTNFym7RjvKa6tpa2hGG/ZrRoNKCTz8mzZxK5D2tq50j8cBNlyoK93VbfHCKupPd+NyLaq0J
jFHEf6dJ+d4gacQUp+PBn9x7ev0b27Og5zTox5g/TT4QweleFu494t4Px8Ee7larCuJoYiCjrfwP
8mJ3LgIb29LXPscbZfXEAuNgRtK8dDsGUQk07wSrV0rb3ehA1AHNkbXcSi/4dPWnYZpWE6e3bije
ihqHt3SfLIUapl4hFHjEyPBF9fmm0DJid9KIzXkzANhYWMQlbVG2FkdLOBsgg25Y/pR3mXwDOm3x
HIpZuY0mwKkvlovQuJlDsqJpmQS0fzSd5n8QAbOHFozFjjM1ww++VZSkdwVWgk6ae5zo4Jk8g5A8
MZxtCeijry7RZLxmFak9s+yoa/aZxwotvBVJ2Act80+5jUxXH4jCY11gaoDF0ZHlevCNu1zTn80S
qaaFZMOP7c+4W3p5fst8lz5VGT+6lnkbFdV5VOJieATIybe2yFG+5kcfHIlC1VZUkA4KjFOvVZiR
2WVqj4T0bXExfmr6zsvRgEyRdR4qC0xx8YiGEECOd2rhsAhBUQjwfIjfCQSl3ivtzzZ1j9S/xiLG
d3OjW+3XUM7Jg/Emxi9YwOpEjMRWQCEg0bVS2skoOymjXaV18OXaw13iDXQEmARpBgg+Ry7Ngrg+
pt5lStNg/tNk+Lpsl5Z0tXUDDu8px1GjfIhyP14y9GVeqiAKQfhGebEfcmPfuOaWwPGFYxvk10Bw
JSX8pWdHmn/noncI+rE2rh8AeCdHqvhQ2ibMYF16ncSwZ6vlNLqX1oCJ1gEhhj7tehEQKsgmlv1E
WfFM9yKhjOL0LALvEpNVeXXKW51lP9wXEmd/JvR2hXViDg6OL/Egwh15LBBoo+BWxBowVbveaPlU
75qORaNA5tBPnKPy1MBkI5aJBiywwyM/G08jS5QAhLoNez9zALO5DVE6IOqgfmYSd1MX6a3sxUMI
NVygltkKz7owgaiWnAAhWyak18Sjh8JiOE6xYt11ESLk5XcueQHe2C1M3kPToJJzXaoXN+26bc4p
IpD9BM8TF+4UQVyexHRKGFXFwtsabTHHkQUfFWVdiDXQI+x8penOkRk17f2QMs43T3aAw0GdpIO5
iLIABASH+eCW2vFTdeYnXJm6ooyLenYL2cCm5+o5YY9Cw84RjaFYCM4n/8RH5+xSq8CljXeBpK5+
Hbg1xsSSrEGRv0icWoNCCIf2+rMS/fiohefSmbFc3kyGbOxHAAa3bH2XzowE8zHFcE48yg4LqNk/
GzUtmLymW4WcaC1C44wHhH0xn971uCwJ5gqsdeMgrcvbLdfl2qiwcRWp62PnjkH7OM4p9PVD7BnB
2imCVTWFwZ6Z/7pD3Qujfg5c5LqzdXC1QWG8mwAtu7r4sjqmxUMll1Ge2DsTIXdk0PfP4/wj90DN
9OStTeoYu0Z+0vyweczCeIerYBUEVQMlHSezrQV7Qh20PnBuwg65EtNjCIuxDw+lOGQ6MJLBtzi3
60AP4NcsECIyXZuqbV2wbOi0Oldp3B/NvtNXgzIg7HPkyIeHKOiWlFveIs2AMjlkejQUNn2CWMYS
487W4fH5dnMYAxpsTeu9+hZI0YqMpD7W1plb18upMvWtXvWnPMSAL2yak+GUg/SUP9OON2irSk6S
dvcqG8Y7ef+QJIIxcwXNNYQAAkmQU0mfKLLEqkmujULctYmRQQE14lVgcPBLbbUZzCbeGrORHITA
lj1VwYliGN6RMXumFCfzgM22V8hWYttG9CT3VYAjukzVyrI8onKQeq6IDeruh/ZHbpIjCPSGMXPT
060yb8vWcna6rxEkaM1gLcbHBQimpqBRmRT1qY+qC5qNjU4r9n+zd17LraNZln4iVMObW4IA6ClS
EmVuELLw3uPp5wMza052R13M3HdElZKiDi2A3+y91rdWw0hkVwX7S6q+NJ9SYKzH3/MI7ilhQ2ez
Ev0yfO0nMwiHG+jdrzra4Pu+FB9rq9mIQtms1S5A+RdclEg4+Sb0Ct/CMK0SJ1Gyy2EtOHa2hCSV
dM/4oUzxYzQIcM24P0QFvj7JdxO5Xi5RHE+1UcV2UULtDBJhm8tP/pw7MyFWuEUQnk7pKcUlvsrj
9pIWylMnFBQHJuE9F/A8ZIaI8txQ2I0Bcw9E4egjFPAFkhNEsiv0iHWbqCSelvU0srzab29FE1CP
BW9bWnHmqLj2gH+QgppRGc0JMe1o5Q219S2I8rM+U5HS4wBtuNbPOP46OFDZxjfYdwjRAlmuR2J2
EUOXARA0Q8oqJzdY/I6daYfkbs3ytvIPqdTQ7Kq+akElD4VTedkyXax0ktEV8CNoSnkXxqnm6lLz
oIwtHOkYQE1CRpZY6AbqISKz7rfqoJ6dYciXcUMQdlwo7AjZ66w1k9rn/UcWpjq6Ihm9woTja3W/
s7UiMFYKl3rDmEmENCpNhYLVNlbkahd00omCjOYWVdbsylwM15RmgLYtkpC7cl8JAsQud2X/lI/c
VAKiVqjCsNkAe61OZFdQTq52cBM2A+o2VJjEEyu9yo/l1tCyqDERBeDdK1I9hPR1yaQqip0GvbY/
WGxF7q8eSla9KxH16nlhpWtq8uZfjoL7m7m/A0rifxsO/tzHKnQ9xqS2NBoHsc/QAg8WkRVDPZuA
caj7UIaWd/kiq7n/CHO2rXRWXpRFLHU3YIRZAQv8ftMwI2wZd++Guai8opb5B6feoYpE/tCo2r6H
fORx5YGrikJcvUjg4AB1KqJovsT7j46rBsGO+PHnLlkzd6xyS6+SO0pqf/5QAnb561H3++IpgzeO
4xif4b//MBQ0MJSKxRxdui0VwMZjK1ns/vyw6iVr7f57FC0xkTIWHIurANNjizepEzys/LgE0Da0
AYp1M6sejdTPjkXAerin/T0OFLCrzN9nRi5uTRXStrjgGzu4S2KfKaCLajvtMnMdEhKMVqPLcAEV
OZuV2BLgoGWJ4DETXLKciX+YOvGa+vUpKlkjxcyleO1nmfl0iA5GjIM6A0qFRo8E07DXf2ZZaDdl
3m/ZE2iHboq8ujXJC6EqJYyPcgBTPmN1SxVSXwWq+TRwGYKDoqo4RUv2BBIsdUI0wkm5j1XlK5KZ
WEaNCkQyxU+Sn5YHoSRdSDJChzF6NwXjMgkExCrJA0Jhv3tQU6vZi3PoSBAX3DIHL2VWPvONEm9a
SkN2aQS7WbEwvY5dYc99B+++E0dws+ImF6duV/gof5ESi/AJHMCs9xi4AWy2gcsPv76xTf2O7VJt
kHOhK/SDPETb/ChYxMnBJ3vf9KEUpMjV/dSiaQNHXx0AG5XflVyASz0FqrypMILWyuSlBnXPTLsl
gAJWeH5/FnF2zaY6rcp9imV5q4C37wUQh2oaHxVFfk4qTNWatqhWt7raYf0KMSAAM3tqJrxWyVMv
Q+gMlOHsd+rVqsvtYMUnMZrWZVXcKMaz388nQkr8HGkvI+4MnL3v+ndS4R+Wly1NlIttBipNL0UE
SfF3TmJDTwWfRtz0iusOijFGREHMHjXVeFEFOjg9Rdk0FF/zjpEVi+L3UCuvLZ9QiymMtKhElE5u
3sIJYGEhP9btoegw5VKoJJtnal6WTwd71DKPia7jrZvbD6MPHiwSRLUCBw2l3R2EAL6mUxyY7NxU
kMzaU0n2bbEIqNMyzT2/FJ+rdvR6eWaXGHXfzdCyvGKfSwWcuZKwCeyf+6Z9kuMRarOYQUlJza1c
RV4k1w5jI7N8hZxpiLKfBMweHZN+YT+s4qio7RDmu8+uYoXbE62JND2VsvWlBxrReCU1KAl2j51M
TXsWJiAf1lCx7kMJ0gphTcXB0zrK9CaYN8CHZg+ZONIfcqqYhYZiSKSXkRYYFbMaAGk+8xFyOnvL
V0ejSPmokgnLu/B+ykDVrXF/Wyuj014FHYBYqz9KXezRpSQGlxZc3Lfk+sjUvH2Jgq9fHWvICavl
eNSoh9w6rNHIF81RmswXTC8fCCgVEJHKW19AmFIX5HkFvzTtYTrXE4TH1AmQr3rtgBBH9esnHa5b
QEOUhY1yDnJoSsMAsp16DRm8sXaQKNZtdKMQd2kbf0452nS5uUR682tgH1vNGP2nrOipCwqDHVn4
RBIaESJHEXhOsMpD5X0ukWUXFumMqnWYrerqd8r3kPWkLPvUXAuwxGULilDlxvKnKDIqEsWabxkm
MRC2mx5xkfpRz+VY3GpDOoPUGQgp6genVuEAVDc2WZZNv98kWZ0AHHVA4WX5EDITtpRZpj3RUQeR
EVD8tQaApbMiUG2s4FgncL6anqVzFK2rNxEV5VrLAI7EEYfErPeaUbyIgnZSgRqtKSPE4fwCom8r
q8O5lQI3ggxlK1DWoITBSR40CTVo+BSHWuWaer0sU2negXr0gmBibSzAN4riZe3ObsuSvalB1h3J
S7TFhmr2qxAqIIpMJvN9YkiHuiYHiCVYo8HewgS2hgVwrSxM4wadG06bXOl+5GK+lNWDQfbxpFIG
HH3OxeUPsZbQCK7wLXDC1+HsdJHlCPiK4C3uxqagONERJwr/RwAU3CDDtPQCoWMLbl+nFmcNxLaD
EFsWC/Jam5DTFCVI5kS4Zkl6KPtPIfDRDPYtmDBxO1VkOeh1sKhPaR5qpqMgx5u1LnDk0lxy1q21
rwD51KcTdaoLGp8H/NSXHJFdnusEwCnn++tOLelwYpIQ79PiFTKKa9iIBQJ2JveZJbcq4pWPdIK0
WSCxIkomt1PTZyNEVpmlAdns+fQjWK1XmFBiRmoqmDspsmkyicPdtTG4lnrRIPSrzo9W7l91KVkr
01B7mfphUcfFRaN9lYxbSzhqU1dkdcdeU4d70IMnxep3UcioSCiZSTVJaSkUBS1uaLqwH00KQmQC
yGeav2b6KRaonumdPeVoH5o4xqBrSKukoOteixsGV6h7NRXWUdzMQ/1OGZfNohmzjWy9nIFWyKuP
OMiuiCnOtYVdoATN0/Z+uu4zY3ZYgxygVOxES33SRPWlLPjOIJGsWFtuo8lI1xbvBWUh3gEq7yVS
ipI2DIjKkO5Z4tB93cWaTvg87U4cF06Xls9xP+766ApY8ksMWOPICKiANqVcJ0y0cDf6s8hkIIW0
bJAtlwVlYgnenY2fn3wXiW57TfRVPNETK2PZq8WZEnMhH80ociZRfa1mcele+fvCb9c56oTOQPsZ
4KwGfmIbVfkWdz24qhbZZRSdlbDG9htHl6EFLGlSQUrU7tUEHdK0zWc1qe9Zld/ylGVBFxGO0L/B
FkH+lY8X1hq5y/7RYAIgBg6cwUfYKpDPsItQLiXCpv7UOJ6+OZLZQUN/LMjITqVkY06PQSy0l7gQ
D+W4lkUwEfT6lHPqk1fKTJOv2bctcSjCrlBge3FEy24cnXyIOBO0uqJPWb5S0F8jTCIpqoLfLEjJ
R1uhCPCZKGiLKa7eVkcxo1+s8sUgJ4C32Q/0b+XgrRF0V5yqfd6y8lFNZkokJHsqrw+aAGPECLfx
qH4MfULIw/RkQimgaEYix9Aj2kTToGT513J9+wXs6qaFwD1mZH/B87JHVX9SRWOLg5LRR6cLNyjT
QQO2RY4vtjhdNiaG0o7or1Y7N13CBlQWvoqKZ9GEW86oKTbgRXVwtyutVl+QBmzUXK8dUYdUFVIy
vi/3jfZb1qlPtQEaT1Bay9R8znufhUrFkLkoy5P2S1B5F40gfTZEZc8C8WgW3qg4d3SEPLZcaxay
Dmmb8LiNsKskkLLyAl4pErj35oOYoDLv6JQoBMUX80xHpqBBWvhPVqS/iiF9gcAfj1Pi31oR9FBj
ghrGvuNDg10y7X+mKmfIkOdLHs+eEUHlbDKi89gOUVWgFdISLWUoMaom40NpImJADG1tjETpQh5z
9GTc5KChVTr82I0DmNCUQVDZKojUBe2lmqNhWzUZVTqJ/qQRvVTyfO5YRHq+iWrQkpMLSyA0CpPx
ivBmU8812ZlxWNu+CFeyUOhxd5MjicT4Ee41UVztO7yb2GjeR8oVzlwwrnBwVeCL4bWqggqodeGv
BoANRXAuwuZVnuHADSPRjQj89WZJFYAh4UkLrZbuyc4K2nZH98Y26LjSDNqXDbuKotFOko8+QzHH
Z06FmsnkQdaGYYvs5yIY8fMgAuNBvoNfNWciqzBuxeNQrJGHkekJEYRVM5+cIQo7HDnfE3Wfpkm5
VLhWsDMlLPIMoqYnHSHvEOeIT4PtPMMFDNgQipVCe36gXSq16kCdQH8AHDa5hRYdU+pWHj1n0eul
5KqVymcZJPFB1LZWcqrZZF86ad6PIZQrWmYtJka05KjkRyasLIbTrwXmvFVL1O2lqK3mMkYrRTWv
7LCPVSH4IGt8bikLYda74nI8VL1M2p1Y39qmyNaK9mqVX3prNGuhgXgvytE1i+ZrrlCmq+lZTk0w
XP3kYhbBfqYmYgiUxWCg7PUuHdx0Fn6hg9JSigbileeReHC532pa9ytbBPGk/uSpsfisCu9pov+I
6mwPuZyD10E5o+ASm6VgdqxAJqtGRFU85Cd5Tm+qxmmdWyh1KbbFkCAyE+6moAOo6UqIGU176qVR
XKuTTHGwbV0/lCKHejSiZ6gBK6AsjIlTvg4V5hCOGmubGLTKtPQDSZRKfXsuLE8fVXNT5IZnjjfK
M9QIdcFwzbb/zGXaMlmJdH80XiV5vFGOeO5yJORoYWpPyPTTCAuRXNBvqaYim5Iy69d0bXCgAv3o
CFi0hO1cip2XmAunZggAgxVMJELaPMR4uhd/fk5ES++2ORhti1p9YMYfc8qurcteobpw8nfvDWmS
eVvTly+JAPTN4UhD/IjdRV+LVUCSbOng2/rRcwiTiU/Xo+tGGMBsPwMIHc1snM0IZ1Y2k/E0MWXj
fpHPWqCy0KLUqSlu2EReP8gJEWjS5zCBX0xSTI7EijD3BV4hPXeWmpE0ymIvSbPcVQR09JDuYo0A
rlzpL1YuP/bGdxODDbNMcq98SthtR/ao7Zd1dkw1GF8t/5+RLBEdlaae75OrJnZsc+UGN7GsghXH
ExXpTmvN1NIbccOuT6Du5wxsxOqR3M/sOYpgFWQEupRqDWIXBtMajb7f5b9VnmBc6QJpbUb6pzqN
JSa9WHcANV9DVWy345AzNE/6a/dpFnK4SSq6SZQYO0MiEnFKKfe0bLmAroc+W9pkeDa16hiCiPRM
iCvtjKddq55BNFYe8JdHXQbOGnH9suCDYNTKJUmwY9i4dYppEpUMLoOWzlq+kZR2sOlvPc6BL3Ox
nrWayrrkRx+6KUfbHnNkI2h058eOZL4RdX4YjRMeAdL+8t64Ctpk67p4iAVlcELKK8gpc6Kd6w4m
NeGHUrqhmeM7xTT0G03YyGXfXZJgweTGPQq9nh5ugHpfHL/v6uP/FWo/TSVy64/vjKVPtLARvtp/
yq0l1TRRR//XP6Xg/02ovc2/o4/8v0m0/37M3xJtU/2XQW9Sw8BmobnXTXTf/5Zom/8S0eCrKr0j
TfvrT/+WaEv/MjTLQIdtaJIKTg/TwB+JtsEfLKTblmnJ+Gn+fyTaiqUu/oN/GHMwUS4CcqTeSLU4
DWXe4D+NOVRGwmiG/rPlxJrBDkEgw1gSR9nZn1CwIhS3U1aZpyYeia2JR7Yyk8l1JOGrBTbGlln1
1DQfSN0AJQbxUN91Q+plHWNCU3+0DZXmGa2IbuAPV3PpUuuMAX0SfVRGiNh0gBJXqGa7L4qOzk7G
HBtnwCAGPRQPKElYKlCIYblDQ3F8bcEiHkQYFGWHYmAaAugvMiGHGetNCo+YczLCl9IcYO3UH3qw
mq5YYKxLTfGoWewIBRmAYVVRF5DbyhZwa9sNezR61RTo2u4qIJKo6YaggO51uAAaywFM/a2imFQ1
sLaFcN8mzXgvhJGIOYqtQVmn+wqcJf+k8opg8NhhUt7speIoEThXF7syVgGG6dobTXTbyMTSSeby
t3+xRMnVIHnvuyJGbKciGJdRQtJgMLxJgGuoC1DdoULxFY80KsBysf+SnBThJQY71OBFmW1FwtU7
6wcTO21o44DUyetz6SwGqcxqY7ax41c3rcrXZZnAX23Doy+N7YkAhUPd0Z6MovABlFbqyIX6Gahh
e0Z4r62MRK82RSA+CghBl7JBQzKpkpFBsvRqzVAi6C+3TpY/ipeq+43bswU7+mWAvb/OcCyvFUP+
6lSDNoSOYgYeIZHY0XxSs87LZuM6RaWMUkzVz1V6SUgKM3oC8PQkHRzmsuChSVtjm7XCVVBwo1dF
8q0jzV31M+IfC6yJHQsDvgAjuxZ9gThDkuYNFUMF9A68IMlQLo0JRzMFALbuy/TLpy2A+bb09JxS
m8S8uWZX3YAyFp4jrHRWXiuXMGSh1/UZ4YBTkO+pixAyTwZkcyvgCG/ldLq2uFDXSjHQXzakZi3r
5UEimsxq0FcLCjuMsSFUW5uG/SQOwSmHROl0/tQBRtYfh6QoX0hkmhpq6ClJCqxKVdcXKV31ASum
vE3b9cy+fDa6dG2qICaLbti0QnRLyuIR8jR7uBGmJ5OpK6QGXgpRQzRiTbItJTkyZTbJmpoxWwsd
VnE1dSn/nHS8UDBsnjo0UZZPGRYxyLSNgfOanSCuJ+TUrP0qJyuqs2Eupe98ga9kVW3LhnEAEO5C
MYFulqXDehCz8BChQI5m/aVrJsQnaPwMq3tnGjrHE4nH5pKpnrTlVTAD7YDmFB6NeUrikNCfmIxS
rQeU3hs/SRDFW+pq4DR62ZNUchOFNvgU0tBNmimkFpt9CUlyCpFXejmASpnjDe6frTxu95WiYW0k
iTPKgZYgLCZrlZWEIrEcGCcVKsAAfUHryIinNbUp1AJaDsBADAz20BqAFytksWxX4w40ckoZqjPn
r5zsg3XU6UdMwf46H5f6YtBeOq37SZbVpSC3KlrxaW1owmj7BpDtVqUxqxvqtToqfF0q3De28uwz
ZwW0TnuQ5eYUSCJ9wunUVj12r0QjVWfeJAZgqrCYseiWDEAqC3xHggvet/FRUCgEobtFxMduB4KP
isCPdqeQ4c3thgO+m2lLyMgmDuCMCgHFWDYjlzBnH9yzakP8hsRBU45qytAOYF1gZRaue0m5iqXx
BiaDINEs2w/CSyrj6sig/9NoXHb0iOEn1of2nKgXwSKngupt8IpLYmWNJRqhNmeMgAYUitZrOIya
A5SwhA/Rm95YVx9BhRQtCgfoNcXNZPO3aXr4EWGSb+oh+pGKYrhYVs7ycTafsl7wXRUXx2MRDdSA
ssHDYf3gz911BGIL8kYsUEu2w85iHJe6vFonkNxWHUVqy/wNpMjH1d89l22mXrTox2zH1gPgsCoH
jdKZMGqoTLrXGSJdM+vsgOIjPPsrRLlrK1bfqokvMeqz1jUG8+CnTHnR1LW7aTwDdnBNiWiaoBwJ
HRDK3qGSU9hh5wWzmLgIGtaleBqaqDx3kvGch9KM5QW76lyG8O1JmhRVHOWScFASzK1JMX+MVVx6
sxT+0PoYD7HxK80B0HxrSwZBtTZ1ZQvLw8ljqUOmSCJiNZ8VP56vxLkQ+0yzi94Rwr4unthzk5xF
p7FAwKnh5ZmoLBjQJYCOI+6qsZY2Gu1WqLnjaDwGaHRk2KhkYpJcNWrE36UdrskOGU0oztWhMecP
X80X1GVy0w1xOFmltg3KjBZXOZbXbIw2SWKmnqoyGuhIzswo0FC/5JdBJnoqa9DVALsjMqymZN+I
5U9p5eKhTkirVkDGAmHvPvRar3eThrQsk+NjhUVgRUWhoz1BryHFQhW3PnwhTSFMzbfw6YjD56xo
JxGe2k2hWNOp1mdvBKPTVqbmGbEM8AWaO/6P/EHQ9J0UMN9S1P9O+u4zht5OqzMmRB3s1J5BaRcH
5DmSfwBdVnucYmtcCz4YG3CQIJdnaVh6p09iwhKHjV8P1nl2Sokm1xga1ZruFhbcRCB9hUZbxlwo
UAx35UL014H0hFyEcLiJ4awtR7Yy9NViXdC3Y01yS4gjzS6xuNgzhpX1KP2ity8BjutHAxpS0BmY
1MhbDWfwoAkMjRNW7FmaNokSDGhNdVZfyGg8IgXgOGAjIwKUpERUi7Y0vVKGytbAuWgC4A9CaAe7
OxT3k0HUyUT7RZ57LFB9CpK9lz/8ipKtbnTGMegpy6kUsjy4KYA81fZbCrTxUGVDRB4R1SmNT0Ik
W8UOXSrq79HoKLdLxbOuopMEPbFJGqaRQFWWDd1uKtr0MWrZszEamtJgrpGuvYRRhRmlJ5F4Stl2
9blKJWhkzC5HwluE+TNqQkK50M/VhQZ8USPrV4rUm9xKMtoY7P7ojaz6Vj6IPsYfEwZB1JKLJJX4
380WglXcpw6WJJBGxfwVDjFqelZ6BMR3e5KgMLgZYH8prGISTyqvRMbHPplkP8jCLOJqBrYkGNjr
UgrAegWrgJ1Y69M9lhjXJOA1Bbb8ouvFc4qDAEEJkiTSMLa9Fg02TFpGWpE4a4E1SDHHN1OpxHOc
HUMB00LSClslagkCkyZHrRAszM0+i815105RT4eG4KORCDxrus0M9KNGO8QqBheyj9tLUkA2dCy7
dRELYNZZBRojCad1JW9bHzpzVp6gnbyHi+SCkhSDAOS9RYAbTcQhapU3CqR/GvmjbBD6O+YmEGYF
t8XOmGCMWLKI1AAodOOMWfidCVKx0+nTEm7tP0Vq+BT5UEOnvmbDCssETIBa4wkqqAeYfkRE2PJD
W3CEriDWf/9+v5M1NvXP+qrcw77u8Vz3YC8eGzsBDBSagBHBXZo6po450Hi7/zmPWtHVOvFcLQoJ
ZpFqd7/1n379T/eNvWyAsAYRd38sRd4aOZuOMmt5vv/0iPu/8ytJxns/ErTOigim///911qS0ej7
8zvVDRIGTTKI//GXf9z88xKBTv2iMgGe/nm0IEBaw+8H/s5kMfXX8/6/fkopQAmnQXOxuQTeJ2yT
zp9X++sT3J8qKYmozhTB+uuF7/dRgdKBwSamfVd50DGyEYQoG+1+KvyRfxTLGfCXMCSFkR/4TGf3
X+9/qGuGG8zDJMUD3IT51ba2Ls2cUuEd714vCpv7Dz/O9wWLeU+CErZbhrp//LjfZylEWAc58jhS
f2aPZvNGXlAt3cJ6TNKRvEDYZazRZWDhFJKB02Xps7wcUBBIBdo2yDt3uKioARu93/of96nU/MSY
/s9ksG7Zy5WWewB78eiA6x20cvqHQugvBikIKWMVItjhNchvXMpQIKSBomfj3y9xv3XHmRYLCejP
HwrdclNj1jx/EQbhWULhhTLG9YfkcAex/rm/70dsQwW87BiNUGeU7LgzXvP+ICvUrzhdCtfCxgS9
AJEy0NTl6bCOrRW5rzd3+dJdzXS/9T9+lacJC42654w+aBbJrcs7SBvUZnRy610ix/Xufsvkkv3r
V0RIqHMJ0kCCTvuwZrLb1WpZ7e6//nUf592aQBov2T7gc9yBAlk9LEL7rAXZ576I1srDj7Vqwis5
4G5yIHbm+DLuwAhssZKsQfx6/eQ0sIk7cqHdh3n3MrgeQSYrDKgEpeK+jQ8WSJN56z96fbLLDuCu
PaI9He2CEME9AGix4dTZ7bTy5l2zhlDhvC0vhjaHDeLqIanXL7FpH0Y72b7kxvrFFFz9PH1xR7fm
BUmieCR1eC6+pQzt+CMXtpcdXnxSNSgf4Dru7NC0IcpuWQVfeG+SxxLg4vHcxJj8gglbEcyyo7C9
Jr+HOF/cWTVS0kfS3uylgzShxoTmQub5Uc3PfC1z5pGGV2hffD1TIjq0eiztlYzE8X2czrk1OHPU
kli5qxpsqFT28CG4dKD7zLEmkG8PurH1A2ect6KM9bg48dr+MW0DJ2WlPjwgCSRT3HcG2HXxIU02
SBT6XyQP1CzopBLHK1IoBYefecmhMz3eBsSZelrRWR1cnUlhGw98rBllg2Kj6zADhxv8aqluSZTW
PTiWDFci59RzCHZt2KN1y1DpYCIrUS0fTTbMX1h5ZZA5A9vhjfQO1I17oc5jp/eDdZ08DohhKrwp
zS5KyfA8sfhfXmw8oaPnKBSvM4jmBTxn8+pFQ7bVOtriIaFDqaRr8Twzrx1pylvRltMCRKGdE9iK
J52wrqBxzEfzXBFmSafzgRnL4T/qS+HIVORt+QJVCwMy/ee59ZLbNNnRTTkrKKLJosf5rl7zoyzZ
/RFhM590BxJ9eFqaxZU9mJ/il9htIGAMphd+4npsV3xh/Q+thfydbyebbv6VUZGe2IlkSNxCbvjU
r6PEnj43zZPoOqj1mkOxjRZ7KYjkn5JWE0n2tnIFJPiZZ8cYC3yW3IhHqQP8sTRXr93KWkdrGm2/
AA8zZAxkMNqnkir1noTu50WNtv1VuXCq4a3fjumllTeGW2RbjRGjxA8BeZUtaDiul/ZWpqC+g4CZ
7pTf8VfhnUMRij84BToN5o6xVUFgYuB+7E/Zd0l9+ibFW5r5YIdKGt10AW96ebFInEvKJynzAjyk
+RsPp7sWyMv3oZ4b9GZYazkZ2WNnzji+C+QaTWfORw5ZZ7/MO/HL449EpjnWuxRvcI6xeUd8g6MF
7fa8ybGprkcYJFeJnm9+5rXjiRNynf5y+Es8tUu2KAD8i1oeObkI8g6JgeJE48iaj/l8DG98OJ6S
CwJHKnrxawtGgEQBBVKzPQkuJ/48H3OVvGRU//icarcZ9qrgMhhM8q/Qs5fvPjiT8QrBf7SEQxgc
OSlTA/OGrakud3YT2Q5LHMQuvX9LeQJO+7kqn2iuIQWio0rbAAnltqi3IiQFClu1y1NG8UGoPwHO
qjyBBuIL05186Fnc9wDr8dxLw7SRug/FR8rPEnDeZtUlmci+Ht+r/E0UWzstHuTyaD7OEvhG+JAc
kQFaFte3tOjE4m3PXjyUPJ4iLL5fiNIpbk3jBDULMTJrGbj4zDXXZOKaK447xEtkzF8mSfduUm+7
+cF6N88cYWiKfK+9/QGA4NyuTlF41bzpiysYLxPDE5cJedJDvUEcamwy6zyozodyga6DZoO80xV+
tIzRk1scDsPrd6RLMQYzxr5xKvEanrTrvhhXRzZFk8OD5l3+S/+jdHgrh/xGnWlyibJAEcYnDawP
jCQwtn5gjXP2cNii1fQluqVTrkC8qwlr8tPkqo/klx9Bf3CeQA5VKBhkjrLjJOSdjLvpFW3eie+A
uhtVDG9WXztMooHjnyd3oNv6xMgZHThwiG34tozumbeg8o81w+6dlpPXHN3JRWc4fTH6MJSiBeZz
JSbTor+RduRrMnOoOLmdyEYBAmnsxmDZrdncE0XO/gwBKp+BPmR00M/4c+cdZ73wrKKd+RXeCyZ3
we13HCzKOPIZI7saOBnpR6xLaQK/v6mPwvEHBaH4xVfX4Qdk14hvfBnQl6ePX6ikMOxq0XaG0MBZ
L60Zqu8vr2SeYNjFASzSh/Hu8O0Lz8alXQ2v5sp6Ny5MfxxHHH4ApD6GL254CPzqZRaBLYbnA1kg
8zATu8iBXmZCOmEWICzhGZopmar4cPOHEsuqeUZ6wGQ2X2aOKKcW7xWXo50d2NhzOiDA4nBgJPNY
Sibwc0EyiV8fnHlMFwjnVu2uOjB/mWeOkkUCij0zEzfubCcH45LxfMwH3ovxzjbsgInWDuG2AIor
bcUTz8JReJZ2HCT+9xLfRvuLL0F/HG2OC1+TduQb5yafn4/Fyb/E7O2W61Tbl05IzOxKujC9QGTT
ilt6kx85jMWB6dl/NI4YjlNbYYzyLLLBl5HJODL7aReuMlAw5KR/hPle5vjZcoDXdcMrzh5TmYki
mzc9WJwznCzsSXkkQyV1VpdRtHl948GsUVAtEwK4Z6hEgDBvogMHnsEnvTEMSjuuPPolBz4ZY8Ar
k7t2fONTKHjaKJ6tmEP5ZpF9Oo3g8lLG+1vdHCIm1Hd+UPGcbAbU4InTPsPe7BiXTuCEpmm4HCAF
PN5HrqFS5XRuHXXNKMnJSs+HN4CxCGoEKXQXxn8eNS4nqT66nGbpL2+LyZ+XYCs+bwg+Kf2H5ovL
2jc8jko+b5myCQngjfHS1rF38I2xihIOPHLSSe56XM5SFaok+aREtCOS8KstReORxYLqDg/pL7V4
k9VecEVIP3vTDN+mhGuT6t0z82bLmFq9w5tEoDw88BXAE3iIJ7zaXofjfovGOXByFDRQ2VcjZ31r
QeLiSKL3sjMDthyggatBMXAz8hWTRFlazYHiR0+tBGz+gjPpXLXX92mId0thC79tDZemViVipSNJ
zG71p5L2QbrEWmH9PH6Yj2zSVyU5SaQdLoOcTPaaPYynwHh+mKrXPPPQkEbvAwceQwr6JUI2CVm0
I42M8HZLkuhh+fKl/L5Ec6Ph8SXNqCy6LJtKh2nV7Pfyoywd9OzMEGVQlhi+xh20PytaigAlHeb4
jel04GmGKMYc3K9qZrWxcsiMsY5lcdOOurUrOYg0RCTa9YAPT9boqP1yGsANLyHK80rPQUNSgXkK
a3eaHliZi4MnF8eQ05UVsbpX14g6SHMtWblyfK7BUSscJduH2Y/JXv/G1Go8oxvgJI0CR+E6Dda0
fljTLCfYoWIcYa3/xTnLdM46m3M324zWGnyh6jZvPUxGVv6QDIlJ1NzqdQJKt/VJ3Vh13SZW3REp
EcrRfB+aYGPc8TKaJwkdA/pwEKKK43keg1xbX4XnunY504pXxivOgJFUYmrao9tZRwiMvK2oPEKB
h9jnQQqHHbUMK5MNjFGStzQF2WGwWhlt8duMPEV0BPFp6Pe8YXYcnFsEZRFxw75127F2WwFxMZ+I
taXuyCKdGaOBAnPCpMXagMzRkIXwwARlK8dxgom+zg7N19j8ZngyhQvdPSA387XVdvKT9F6tuSgN
zw8ZjNlv7MnPM1kaMyCrO0VFHkiVPRXHB1AW59ZXN8bn4kFu1PCtkvX/w955LEeOZGv6VdpmjzJo
sZhNaEHNpNzAyBTQWuPp7+fOrAKbU93Tvb9lVkiHCASIANyPn/OLbfwmXIWYykTefRqfrPYRuQ7z
FDBF3UXZ3VyfuRWwEV9LJJyckwl7sd6G4DDgTqDtf56T6+hW2RJbbi0ergOBbb3lAWzRCMmiC5WA
xLhsXlpe92zPQErU2t7ZqHBSg1t3ylpdlVfuqvnOK4dcEC9x7OCgyrkthJR5HykzEMh5mzwXLrLA
R57IN03k4zFXIzv0vf3FMOWcvXyLUpNySWfCjxua+1ZoMWwCxGK1dXY5XJJ8pNjZ3KrRes5eKe5W
JyotVE/CnUoCkdAlwzEWKRbkPu0tEKF6a1MSG0jX2siPrcDwKFAXKdReucaNCiVDPEIjrzJC7d0P
1wtXN5WyhziZKaRjf7ghpDbsUqGRE1OeYuU54bGp16NxqVRntsBGUR4LfMqupnyHAZJJzw+kenwe
LX0Nvg5/hW7beD9tm17opUPVB2ZscRImE1SPYvBoOxWAcnfbhtee+kZBnT8FuEqZHwKiZ3vj4PaF
08ja/XaHivEuvJKBCSRaJkev3hUvjnPnWfvsZ/Aw3TDgIYrhRiiqnGMyu/CxESnuSQQw6uJlAcD0
IjYIQ/a4KvwISNLfddh7n3OGwVX+pHRYIq38bygo4qXU7brQKDYFvq1qDAZeaQeKPbfWHXZUibmJ
q33W8ia16qqpXh36n+q1B3/fBsycwg3hvdJgYb227ny4KCvjR2qss0f/1QR4BJcTPkB8H1yS37Xu
gPysSuy3KKyBjtsPFCPvNZgQ/YZuTHv1L7w7YKr4gQGBqrf9IY4HRkV+ZrM/guzRL/yW/mU80f/w
KDiYRYBmRbgIz7sLq72qKbTX56m/jaybYPg2p88myl3htA/DF4MLIKMLEX2FDAQGi4AOLrRmXV+n
31GK6G7zlwHIO1P5DSMwveQZoVq0JacNFsfeqYE7D7x73aOc9M6/4XV6rT+0NxRiGuTqoF8As+iv
vf4K2IOPvDUgIvqLeKtcZviBQcci0wbwALQzundYyawgeFSkaGEf6ttmbV2UR3s/nbh3Q4X5xeu8
Gy+si5DebYt8iUZP2EOwWKFUsL8MDvM3JIHhs3gIPwbckf7YOBvhLOtWm6pClfN0iEtiZeZ7+Cq/
oaNwozq8U+XRXBev3k7b0WcymG+rR3zRUXx+IMmyRQsAiIVpMcM4CULtU4t0vbbLqbSTuKOOiq9r
DMlrRbZjB710hKinrOr0MkKVdJecAwJ671o5n6fsSBnDvkVlaB886N2hijdw7uONRWLumt7UfEku
x7OlrjDsSbbGATbnnafWq/AipDvbgAFVzta1tiHjTa+QcNh4USAbF7xhhgMHNF/Xz/kxp/iz8V+q
vSpUP/YFigKncm8idYoCQXVz719Zm/DCuVZIKayc62KLhsG0Gu+jQ4fRMlGofpH9GpneXVcQCL/h
3rezgfXNz/ZL8No9tNhahScgrg/Ys9P7XPJjxfOFCh4BR59xxbD6pN1ZaJoA8r3C7aRwt3Vzzw/d
rOH7Q29b4xqURxj/rAblgKpCERBs7YtLDBNEn1isPfr8qxIZwqOzbZ7jJ3pR9YUKGRBZ7rJxRHAj
rs8FSjIoKfdbpD3K6BsWo7zF2l1l3kCtgQA1mxik/BKu0DV67Cu1PiLsmhN1Z2hKkQ1VVy9MnRj+
iBAQoSIWhex45dU4f1MSFv8KwxWFoGgTX7jb/DRvA1QRjviCJPSZ53CEm3VCuCQOjpltMJ3H7miN
LO/F8OwAQSCmdZ+yi2if4WHfwQatn8AoFMEWTeNeXQVIVZwpZjGroqRDqc0FGARQddXdmu5mutS9
NSZuRYb+zQoVyLE95t1BH1e1s0eJmcLgA+EmM/TpOdERP9gS6oOi9G5mDb71GsMLMWcHSbKN+JJi
xfhPNkO5nHZvPAX6ii7OyaA/b6f4NcfwYt1uw6vwAN8cK/FnuoXEoW6yCh7Snrmns22fPBsjd28V
PeKqgAG9eYl+z4vovYOHltLQytiNz8mv6Kl7R8CkIP2+0b4DV/c23gHii++t/emoNhfJ9Nr8SuH+
IBgAXbz1LhX+HJjJt8EvG3IO5kyk6Fb5hRDZAuPMzWlwDKbOd8hRUlqlR8pM4INIH4AAIkKglwfR
UaJC91zeY2HRIM60sg7ukSD/foYxss7uYDZp6I+Vb8VtDVi/BIxzBv9Ecsi7Cq9NoK35IX1yGasG
FCjWnrPyf8S5tk2OmdtdNAaAcG4jKkzjKXrpNgqZIkPMXsLHXtt3sHHQ1b9TgDExffaql/KRlOr3
Nr4l0lKgsdx07SYwr7zipDWkhEvKTPOBriM5CRg2RvP9cbjSntwXuDf7as/0/oJXEr/M+/bJfgnp
RSmJ74rAQtO4s8YDHPKkA71m7YEKQDlCd2QDPf8KFVILzGRrXhh3I/HEg4PPYH+ZvOnMewPEQGGj
r7Qd6nNYeGwpEkA6yp/K9/K9+O5dWqeamT15jWvgAqAFjOo+5YUG4NqvEGVbGz9jT+RHhujGu0Ip
LmNCYZHH2FvXY3kbkF84tbgt/PIv2vfooXwqtyIqu/a/5cYhQG63ws8TlZRkY/s/Kxx8hU8LlKzh
WxpBJH5wo3b1s10hNj0fgjOpAWerY3q6hU3JFF38LEwZ9/07yhYrSARbzhrCND6Ph/YwgkVAZ24N
O27cB7eEt5feFUzhbxhJXiXO80waDd3RzYw6OuCN+ztcvF+pV4UOddUX9Z4c2+MbBSBb9LaP4RMh
VMyvzNc6CFg+uDepBxMcKMqKbr9/cq4sjL8Z7gx68mTlkfxcxTsEMZt9dmk9jT/gQRWvxl3x4B87
c+U8RafxG0/izyq+6fOKhPajGZycu28mXPXV92odPSCkc4VFzozs9FVyUq46RmQeBf8m3UAAq/Yo
nCHd8JoBWVxdCy9Zfaurz/MZvbQTwRnZjUS/bQf/kAzH1vvmFMpFqwQ3gSieBtnI3F82B0P40dUT
MaTqeLtgQMxdbfuEmhGVpqlT8JGywON/+HrI6lMVnUtwPPtElLBCYUAARIKEjF6TkoznYQJR/eee
TLSWVTPowT2o31oVz0qIWcXH5+VJ5KGtGXOmKbFC0JZYJnz5PJoIKCoNp0ilsNMqdvWxCMSq3OaX
AyF66FpvHpihrc102OnCT4d++aQ8h1VQK1rOVtR+sUuT5t6CiI7DULilUHvwK6pFchFU4jtk06Jg
r21lE+9EzLgdFS39ZgzPy+H9X5e5bPMCpfp9CrlRHpOldXRgqMFx88+vktuX1Y9WiMvQ+suexAxR
QW8YmpYdroF9Bqxm7lIxEJdpJQ4T8hSfvl7+2SBCA+bKE69VExBA8k5npddvQUaR/BI53Cifdn2J
v1NdZce4rw6W5YQ7KvvqXjeqyyATtpYxuasZo4EEySVjuG8079CVTP8SwzwqfWttOuATtW2t25ah
3Q7duyhQ3t2kRe5Nf/Wcdj/l4ChblTSa4oGrNZ5Co8bVlZKFh9cUMyDyP5OCuCNY3hwbkngm1+zu
+0zTyBj35q7vtYNaAytIfMc7GBYw2TB5Sod4XNuNdWynGgye+q2UWJ+kR5rJHB8MT6MXLOJ7XHfO
mU94piJS0U8bZBv0GOFhk9iySm7i7Bm/tJ1JlgO5vw1Wr0elAa1exBlZubTeeTV25GF0HTbZztQc
+i4juJnfVNc8OR2mBFasnMysfigj5U21YTRZyc4P3oceqx4jZ95Mh+Pp11jPFmswKjDSCkvf2l17
6XSIadkzSR3feR2Bi+Ltmt8ANcMOtS4tJkegI5kBUH1lFLE8zE0B65UmCZ1i6HE1S68wCfk5taO+
SUr9B0iSSzVwnoMECKveIRCafNe0UzCk3/MBHbohnwkCQpRusu5XmLvvlJHzc6ca/b6A+L8Po2hX
Koe5AppoWUynWx2Ybps/ORMCXq12qiu8eiobK1nqLLN/MUb6XVP3iMXqq2ioQUflpymhIoQkXKi2
u6xFOG2wicXo7v0aVKOpP3TevnchQSPOVjj6trPmvWbjoUvOs7VeuU3vDaA/zUuvNT1+N4m20hG5
Ldg3W2RahpKsR8Y9M2LtZxl3qPapPsUGk2iPMb4G5MIdm2znonVwcVFqKzyHM0otrYaVAdBZJFMM
e1OOt1VQmt/nhHKRb91l7fSclTV5UK8jm2qk4Izyn1qAR1LYIePcFJvRLHLIGKjaZKTBLKQXXAQt
Z5PAMo6R3Qmr+EeBGoyO+1qQDQ+ly+g6tRa84L4Zj7gwX6BwAmgXMdxGgV6ZqWl5FTXqy1yiSFHp
LnK+BvPJTH8cO604Ntn8mtgzXQpy28DKcH13RlSts+GFuT7VJ0SCU5CXUR3vPMP8yZO01bT20R/c
t3ayr32q0rMDVGNWxwfkAM89vlu1XYHc7bNgo6nI4AX3GG2dIKK3ZKxIf+CTdjc+1jDF0WDtdZyt
m22pt/o6iMwHo3NRCrP0t+q7ani/kG3tj0nB7RpR0wmdCYEiJG5g7iOLO00MXr1/bi1UOJQKnyMM
RDVM1GbV34Hw9dG8rc9e3P7UBk+HkNTcI5GC8il/5qyDvp0qFHN66w1dcuC8BXE0FbE586qtUqtU
LabiB1oh28k3uutERQ00ma8AP19rVUL8UU/ezgz8X74xxBdD92xpdHOVOp4slGK3mkF1O5w0FzS6
h29X9qt2/HXrDYzirntbwzFc9zkBef/LbOZ70M6wpQKmhdj2YExTxGfbbp6ijtlFpg8typkdaRiP
YkfqVsm2fEy1zNq31nxVKspjyLvJ3bWeI9tDBFshIxOhMBJM1CphYHVd/DoN2hPmcBiG1W2wVxVm
zFFoQU6YDNJDE8yhZjhiqn5pudrZjnTMMCb1CsUbItUhuCl+9nX5w2+p81gUILOTEc7qpkLtcB06
sCl1uFa202z1HuqgY+kiJKTi4k/RyXO7V8TOyFoqpD0V+p5DnfpkzMboJkRK0CqbhyofrrjnV3ON
+gYB7djFVE0V9SkQcoy4dfpDdZPN814py5vIFPoWOQND7czqys+iX+Z4b6AxirCGDTmiCG9000iA
Bqdk5BFrjT0kvHUQpmvF6kF02dCczKRdq336XSlQP/bn9pdpk96q0uoYmMl7Que9bo3w3a3n+Ag0
eMRikSk//Xda4alUJiZgRKBwTnvfdNGvNtKnG63l6Z8D0OomLFOg1byBc1LsMrePSA/iMhk31TN6
xAPM3fzauDHIhCCasgqyn1am6+sftkm5oApf0vbdDhGtw6QLfuGk5mstm7cA9U96dqsg+hKMVXMF
ulqgSkmoI6jCzMavD/6QUq1ps0cl7N4t3SgxjhKlLpGrwzi8z1KcsQqYjNU0PERIwBGdCj9vbrcP
cA43L/L1ANjx7UvLkzI6Dkp1JmVgyMJDQca8hDe7ccH2jmVxA3ERJ/VYy1GdGJ7UEe2TCL2sGno8
JuR6A6baelLRS0OKPeep7VoSIXXyDd7md9Tft0UDSRUuf0CytrSInlLAJQ7sYbjPtnWBA9Zuapl9
hmTEtkUWgzfy0/6Ym2iLDs3aME5Kd+EYPuUmlTJD4HtgTcb0oCWWfxmQcoRyjPK3MX3HPayC3UzK
KMtI0fYk9BP3KusKH2+lzuNqqZPkOVwzUGIk2sv8rmsqfFBMGGN2QwrA1U+qP9MhRuO4iRDvsmsN
STPAYVuEMr/jMnn4X0rZf+L9oRua8W8pZVc/h39QwI2+F5+ZaL8/9ptVpqnGHypsMsvwDNW2Pxt/
aKr3B8xrB3sX1zQd3V6MPwxHfEiFROEZjsdPCtXrT1aZ9gcKyYQJhgbtTIfD9t+wyqCP/TOpDHqa
amq4PZmWhTCpZQpTnO+L2xOiGuk8BHl80eA5EVS2X1BBJKAC1ncRu3ZPFCGwZ/gIUzyzvYYo1mFq
qmT+KoyaaluF1nfI6coWqV7oW+NJqo/JhWFG48lHvWSrZNNrpunVyShxmfNyIn2+hWbu4qq9lc3O
z+uP/XIVvgWkr8Qj89pjPi7dAEujuqmyDgsP4fknF1rTiFq6WC+FHV2U/XAFAM8TyD65cP5qydUu
M4LtpJG19oXq1yymhNIjsJD28bLZEuqs8syZqHqCcOzEHLETGMZlVbaEDiQS3UzjhT2fdOxbLOxk
y+rMcN8hJZYgD40oCmDexU4QpxVlN0eULsX20mdAmwKUlKteqGn0ecjyw2mwL4o7JObqnd8bxHVo
fAIVlE0HiVA8+O6sshbJPwEJrAQaUC7kahyhdaDhulcrcJ7PGNmQcGicfjNZSsxoQgCdYrq+snwf
F7P+B9LGN0pnDCJcJ4b2sss27K7rWA12U9PvXaTeVo7Q9K27qN2nY//Nx5FX8xEc0dzsWxdqaCeH
9dVA5weas9qqZRzcIBxS4SKDwHN9NkWry4JiD2b6DftgyNKwB+vB7HdGQgevJEBSigF9fhj6MWyf
YyDQl/K3ie3qAcOBygccpJuP8vcL5jmChWS6dXtjFoAfNVvUFoYOoVAfYta6UO2fbQFyWuKdF/gz
yejfQOhlm1EOJkWrv/bIY5ZVeYZlm+r5BvnHtN/WU1celuP+P6f5ulueNoBSyE8ugNof+5Mzo379
Ad2W3wmkmIv7cg1y9b/fVpcetet89j/OJ0+Q1diZLudbtvUpwF/FImvkwCjhAr/egmX9y265OubU
eFRUXMmV8eFwoG5WA7BKRX4lEu+XXEDo+t1KpEf9si531zk+oWv5Gbnn46Dlk2YE2ABt13UIYxRy
0P972i/blq8vpwns7pfdcnU5ZrkaRFPIpOtju5GHyB1/d9xyPiXoUHVPvItl0/LRZdvyty3bkka/
rm0bsJW8J7rtPAARR3pdWFMqQnmubIpaBa0hEd1KN6+/NnUXbDGpmesYjb+dbleNik5uoFG4xnhH
nmM525dVea7EScjAyD0eLxspKvHlkx+bCOYhXie++u8+J7d9fFgeIy/k4wzL+vLpL9uKjFJuUqvF
Ee5xTw/5aqIlhNRka+O8GnnpiPaiWI9SewRu+6VpCdoEoRzd6NddaKZnRrSXIPQICRamrzlcjCiC
79KIPr8X3X0th4RPB6FSwqFyn0SyL4fK1c5GQ5zk31XcpdUpFQvXcsuPRaNF9NCaAjRlJl0pd8jj
ZMtqxgIx8L8+Ij+8rC6nkRKccjVULW+FzAN5ZHF3MoysT7IlF1aBOU/lzjn4zL92tPBdowStwI7Y
9kQP/Xnxd9vahH4X00SJ9B/lOCjuzif0/yzeG7kn0MZDaVI/QHLaw1QD2cHT5LruTsujqw+qwHJw
IptyqyIf65aEdqyn4SHOUC+Viw7xQQw4mBS3AuW+ANwjgYuXq3IHCTsShSVSajUlUlUJm5NckJ6g
tJLHgHwsL3gexa0yGgx3ysZQToFaDdvRZb6Lm+20cpAv2cBm6U4D3k2fFnJbWFjvaj6iwxPp82kE
7XPqxSK3+HtJeqCOUeJM2MCukS24caveLMrj1LnWaRALiNzT3u7sU6hmgwpERq938IjvyNaSrokF
9kL8+vL3nRA2OaX+zAMjN3by2bHEIAi4Iw1QfPINvab3hi7jtyKfK++EvDE+VApTQz/Fn1Xz5CEU
cpKtECmlj9Zkd8U26aAFZFk+zWtDUA/02QR9TQRYnFTJAQkLdTWY1A3cqWqo1JEiHc15uOdGYYlr
KOBTS8dZkz6DeefVcbCNhG9MQjpsOypwNZs58gDJUYWFuE2l3HUUiusAGkZkgmoR1ZkyektE9CbX
pfbrx0a5LvfIRY5HL3hpBGDWTLBRAZDry/5PB8mTyHWUnKlD6u3lxylnIsMNMuoNk13jHspbthuV
doayAuHtQ8NWCtmOEWyycjAOWnaw4dgddbFfLqTarWxhiwwpaFG/XY5pFUEX+nK4PLHcRlrKpPin
+mgXU8uQi7nDtftDi5enjNrGF8bIp/2THaBbWLjx5ssxX6gly8m/HCdXP75FHuNHw4/AC0DW/HU5
srX8qf04YFM8Zd5a/gHybi1/7pdV+YdSJLTm21aMCstCE4PQshqIEcQXw5fW+jujHm0eWDG0YDDJ
aLYcKFvowjOuLZ9Zdn+cNkqN/PBlo9OIu/rla+Ux/3KbTSC/NlKU01TsS0lRFSe5aIOaU31tynVU
9n8f9HV3Ywn78H+9/9NJvx76af2j+encoz7y1ikdJBPJAJPf8mm/bM5RQVpV+/HpO/6++ffftFx0
MmnfJq+kGihuxqdzLId8OoU86Ou63Pjp4x/7P53KgKrcwNCidqZ/WqR/rWag0Exy9Qd5xLJ9+YBj
qv62nNPXZZNvtvpJhxkLjVg05Z4udbWPVjExQ8yi/UTkCoSGxTihSz2LRQIPHSywaMqNcnfalsyG
lyNlK0xDRJxTdIziZbfdicmy3P/pdLoQjdaHskR3UDTl/o9vkutxPX+bSy+FVNR5SHaIS5Ifl61P
51wuadnNz32naHm70zKIun2tP8p3ZXkj5KqJwUl++Hgv7D6GT7ocpWals/EjohCGU9i3fQ3uD7E5
lrKWuizcHIEnL6dgD7/VZCjytPYUF2i8yYXSz5SLZZOso6WSRWaX97PuLMrGXs8ok4oH1xTh2Shi
tmU1G3cwvy3XzVFV6ZpT44avBDtkECZD2bpN9xOe+A+fgTwt4MsmRbCxtPsgK+oTlN9ndCezc9RM
2o4ayCsywhS/xGiVcJrCO3utgeeE+Ovk9H1ZyBn+HFEqNQOGGcSm47MKDKJOAgLcMDFOtsFgjiAb
nqUxtRa12w+m/ZAKvpI1nhuz3akqQRgPjFZnsGTRAJgVActMrpe5q0xFyFksLOJhW9k41XhDr53+
N2H3nyTsNBtL0n+nAXV+y5u35nOy7vdHfifrPPMPip4oOankw0xP10iW/ZaA0lSdZJ2pq7aLDpNp
Wrim/ykBpZKs4z/H1j1UmyyDa/gzWWf/4ZHdwwhBN2xXI/z/b5J1Qijka7ZOpBEdcn8kFF0yhl+z
dX7rpnEw2mfN949GnKoXg9mpF047jKfZZYBUI3ufTyVAqK7qz5GIKE05tXDERKRzhBgQY8OqsSMK
f2JbIo6RrV5EnctqoWfrvq2tg9yZ+6+RbyITLiYBmpiny5bMctVdZxwpqi+bl31yWyqj/WV3i1fr
vjRIb0jKcOhWmN3DnrGAZoJrfcFaT9uhi977FXp9IkWHYWFLHaXGeU1OF2Q6Ltf7CKBSEW5nuyoP
taemgJTVb3jMjAfNVDZDqITnVI9QqrPtX33bVXtH60Pzos4aaFM1AJrMUk9y0fgOEvNu+qRl6LdM
xgi2UeV+H0tg5vIe+Ygdtq6yR0OIcFCQpfm+ksD+n1bHEiwrpVqkkcZrJ0VVxgrRgUjn7jIV8wON
tAeV3WaPc8N4kovUMkEQuhkMKkr1qS8ILugmrWMxz5ELZdZAUsumpZJnSvmbiyxo8CSn6LhchryW
WVyQbMkF19HuGnWAm0OwVQne97KQ29qi2mAW1x5yBJkOVQvcTMSCMbBwu6AQ5a5tK6VvVAyks1yX
Oi2KjDBKxEIlU6gVcX8YW6ioLdO17dym5DX78B4RqfFUjHT7s4r5IMlhG/XtE4ICk5ixUmKsQbuV
EPVmzKXHGdyGCVhn70LnUOOhO0WZsRsQQziM14HSeyevopSOaFC/zTuwkkaBBLmKYPYqUaECQ/TU
MuQEmBuoJ7OkiIkWRr7N/chkrmt167LS3r3CJa/NhMMXaWK5QNkRm1YXq3mxiZHU3bldeIkdDpN9
2XvLhcwXy1YxYeumpXf+bAIYmChU81YhzeaSCSRzfzSETky3czFWPOQOT6YXd/g3FQjC2ilQYzGy
YZcMygNN5w0Sm80pdEHwt7r3y6uIV5AGSXFBgERUfhxdZsEkkpIcaTY/x+bFh/mC78mhj02fuwvG
svPNnYYg3Vbr9e+I/048ojWOgtilwjVDlKeyNWxBshmJf0QkQMjEJc5gNcB8cTvsyeVdqsSsTN4G
K9FQ8i/Luy9/uxy+sBkM961fK2DxQQjLgXQZV+W7KbQtgD6KNApcB3J/uXXonHVm9N7RjJQfdY9M
gJJd2A0JSL11Ids0Hn44oefByRiBAlBt3M4+KfZUocYW9qTc7C60YLaX3+wxhrLWO/bJqfsHpnlk
xzoPKbm82idJBAp33I26j9ZmO6inQUzVqcE2KogOXXiVoDtf8vyKWEQXEg/uBGKUh1yHfkPB1c3h
aPno94NCpTaKbnK9qXprODgqdjbaUJ9MU2fCjmrQqhWrePEQsWXBW0ZSkIQJyQC9JpRTxuA9mHhA
i96jbopl4qGP3EPSRzboiAjh0b6hfJ6Oe437dzLEgqT375bc5g5av03s+Lt8+12hC1BVCb3BXATZ
tmeCSjKup3Rs4caD2jyEHAMpZIy0EUGqgUx/XBL1nEPVY+Uk+iC5CfPfdmUqGtXY9E3DU/xkiAXC
QTAMEMGOM0TOSC0enMoCEJrzc8pn4aNpVvATO7s/yKqKlhSvXh4Z28TwyYN44GQC/djhAwKZE7DB
BoQAEqqJNyLr01+FJT2ErnbTKUEdNDLcG08rUeiUd5YEG9425yES6BYreLD12zkjh1CAum2z0Nuo
+OauZP8r+7cc9Rwkp6lBiH7PDZV2jRhgunIwlzuoWqnsEYy5VYDMDuha4c9aXkYF4O0ywskFNf4E
eKwzrQ1M5DfqHEGCHx10+uP6QtHtAQtoEtaf8voxlC0HC5Os80C4C+idJiL1UGD45Crag4gcF7i3
hviTTeKrpH2M5Rg/p8TQtgVq/+cBFOwZNGfHC2cFDLxjnJLFkk25cMTGj5aOELRv023WQWGtR0zK
VuEksomm4QtPguKIz2qGEHCanSety87dYJfbQinwpmoJNO0c8EIuTGbGqouPfgZjB8MAkkaUbk5M
VWYj806qSg8b8BTtzCS7yxuYsK1RbCtgImCqELFCpDATobwRU5FxHCqDuhgL5LbJLvWNl1Jhz2QR
0HWmvYZcMg4zIFGq3tMQ8KjCve+V13k64KZop5c90kKHYRhnlETAsU5xxYiPL1DcTDCkDCvYuol2
dJGJmTF1xIlH6c9xqfdnDwpXhZ8ccBptLP2dHRQK1UnxS32pYIQEQnvDgQHprbN2HhDPQ60MVDpq
v1dthClBV5khKPzWSE9eA6iCV0AusNyId0aZP3YC5ynT8TI7v6To3TKLjxZFMkfiRz92YBqT5us2
S3/W43CdOeVwoWsR/VcbrBMdoaOm1u7iAgrz6PRveggUWsAKy7R/ioLibWoI3oyhBsBKEQ4VJnU/
mojGT849kEbBPDfUjbBwifxy64/DY2rBHkFyLIY/9zQlabO1Ov+iRgJNVOG2rideaYX+BWG+Q21V
T1lv47g8MrdTmnnvhtO7lZbbBr7HwMvIpDe6bH0r3eshUGzX1PcpING1FXmPmRZdtMM8HWzDAJ1h
/Gp0+6qYZuvY+fp27Kkktlo0P9ZeAJtJFPPm2KeDrh7tHppklD46SF5fMT3KDAg9eSTkBWOAn2hM
XjWJeqFGRS/c21+dgvrNDHQRxfJ4C+gCmH6eHWIHASZ7BIVCxHhIKyNDxqVtN8WYbsgaiXHgrcT9
C4HqCrBkoWMtgFr5YUxa/aYK7QeynSe+2Qmz8pq8V7OyWjH6eAwtc08+BYHMtWt6mEf6SQfvrW82
DqWH1Whm3yIdg4wyGqDszKP22DAmub36yzZRvvNS5XurGvauT6tNXcfo98w2AgY+0d9o/9B6/o28
FqOQFLVwpB33CNWt2hx5yngmyPBwGtxmeC8WBW6mfcNLpwXnsTz6MWDGNMDzNlIhyDXG8wSA6rYH
Q7sGatWNcKNshMXPE8oDVhGCS6uPHrLf9GnCstdxrnWgmUdzmLi9nv/mFtbJRFwQg5I4WRVZlG6M
GzvD2jeJMnTqDVS/usw5GhgUrUdLpHIRfrMtCAkQbEc7AxlG4LBTLNB+Uwvtp8JzhIcgXTc5ENHW
RdoA/jnCDTqWUTYeRaO5CXEP30dhjnEM6go4v+y5BHzUag36ByRSEMHwvJX+FZdoc+eF6uNgwXyL
7Tukf7KDWbgvyZRB4bFM9EhA0jaXtt53a8BV0BPHYrjsYNfnaDU75aThPeGSCJm9l9QdLhWPK+2/
daDo7egc2m2BZyQsfNxtdLBl4YOJEy8WelhkMAldRVFx0xoaHvUJKCJz4PAREUOgS82rw/9DXLaC
h2iV8GXm2MFBzi835RxftFZKSNqUIUJq+HYMBgJjen87BWG8cSbY1jWshdHyfjRBTUdoosRpFk6y
t3tf3SvqiEXJcBh9+7qPC4+3GHJjmpmAaBNI9hhMIKQ7wqbxEqTOrH06FeiH+mAUwsCHB1esYnyX
h6y/LzLrh6KU+1LjD1cbd2eghR14xVMw5u9BiGrvPLgdeoWKhzSjg+KcE74XzqiunL570VQzfdda
+62HiTQwXUZYESEQD1a07aAG2GLYOgX4kwJbDSdYr1pBoC21lcrKZs4kBZf6MY53JsMGUyyrhKm8
iC/Jljxo2ZbLTy4qTV92/91H/oNtGUIunlIi3I1DJ+icD8aAIUZcbfShDXyQCcRUJxKLZfWDVSDX
bWLGne45l7XApyTYqJxkq7XV8hio4M4T+1LJmDPIzXKRiaOWQ5dtsgWgkujtX+5eThPj8/HxZdN9
0pMfXU6EaRBaTcJHQFzVcuCnL1jO0ye+CBdNO2F2/NcfUBA57/0Uc52497DjrZ5iWTAX6bEOEPkm
qUEap3K2HYmNcrEcs2wrPmrn/+oYp4fImyvtC7BBOPt/HfblfImcMHw5v2RWLNvyrowRlpBH/u2V
dZ4RrRM3R7dhOR2K0u0uGeJboVCPq83g3GhuMOxygUjqG9Ify8IWUZdcrSaU6AcfskokY62+FBXa
Zf/H+t/vM/86izw+qUPoImPBXNYE/4sbZpIB/Yx6FfygnAqnIBuGa9mcTYdJxVhBbJaFtllkSUVr
WUT/DCZSKyT/6EwPyxGylSvA6u1mHNZ/hz76u228MZQ5ltMvx4Ajuy2hzSB6ZWinMCNpGdb5T8XO
kB0qFXf/vynM/ySF6eF1/e8ymH9K3/+j+PWPdYEH43v0T5L2H5//nc50yD6qyMWTsbQxCdN06690
puP8oWkOuU7VMGxPk7DE3+lMwyVnaaKB76E275qOgCX+mc50/3BVD/ih59ro5JN//G/SmeLr/0nP
3lNVXKMMzdJJmhIzfklmTlqeaOGEN5Xi6Vi2rLLgFx55XRDs1AZ+I8LAqgkb1XU3vvZTOJI3/X2H
CKo6/9ApNDdUfCLEKIMsZhJxM5QHDJfb6lmD+N1GN59u882Hyv4/8i5DCw9T6v/7f3T3767WsG3N
MLg9IDC/qO+jdmqX+MdztaMKvN9t8PFB5dTRmaqYz5TILpo+Ef4eRF0HlJ/vHAK7cr6ahIef0r7r
hFe9qR/mjKrLkMCa9ZmHuruBbNGEf9yAIl/EmN7lIfRq5opNOa0SSImhf81phItQ4jPdy0skDdr3
yYbzKLZxRFIPO7Mqvotj+oR8TBlvxNcVlncYPH+tzsJC1t21AYRJeJ5ETmKTOESckgzcXlyBWyIG
yKmIuSi8dAD3vpuc/c+LqkykGrgmcYHygknaFqpFWACEnwsX8WOAm44v1AcRP2/+h73z2o4Vy9Lu
q/wvQA28uQ1LeKOQvWFIOhLee56+Jygr4/Tpqhr93/fIzEggcIFgs/da35pfirEgIR0ZH/VxGosW
iuId9Arkv+NwVbohwgDxNK7jxfqy0Nb00Rfj1yrFKG7GJuOqLssC+POQIszqpIbdhoAdkSr+K+rl
uLXqW7YYO296Sfx43IefJhD/0EhS4JizbY5y3O3HiOuija3DuDs52NVNaatKsxrXCP32krN2WvWY
DnDYthK/ZRNqGkwxRT1hfaOmq5ItwoQdcIzpvDh4Lhmrf/7U8Xil0BG9ldaAFPKkscevqBOY/t/Z
mvhRBuCh83o5/QD2o2Y1JbP+erw8428fDz7+BlUIljiooMLnWFxCZ5zmO/yBgIUtsPAUObVeSZ5U
sSM17dF7j6Cby64IDg7JDskll/pqnekmPQfYLuvxQvS5HSq0U6j+NABJzI4rlxKF7qVp99SLigxH
c9wPANCsakrD6jrZjcsd4rtNw+h8eMP6fT3ut8QoB0er+STTZRcy01ZFBLb2KRng2FS+/XNTE3wG
amNIIMHS99UZ2rHZ+F0+7naZqfwy9haqVM36UvUgUqdN9dF8PINxs5aqfetVIgsY6o7d5NTzWYi1
giZ9jwE5YMIxVzG4jokMVNleRtYmKt7ivelwyanDaydg2OViro6x01tYxtCLIAn3ytmJo6c204OF
rynE4LW1Wxo7BtiHvJBAj9TzKqBo1pMPdefXi8SsIbDBtKjoUcmmeQuTF7nET1DwkSvj5ky9tNh+
JvChYi9h4OTywAiSd44kZYmQefRxXCotRtcgDTO9XGLvzhXEHDMO3Pn/vUP/N+9QRdVl3ln/3grm
sXr3fk8C/rXB34r9UZYvIkwTdV5NikoO7p9JQEn9h6iLsqUxChpNYox7EpD0oMQL0dR540q8UX9L
Ao5iflFURE0yNGN6Df/TpeavF0/5x/x/exFpJqnG39+bVAtYvCwVXtoKLyJd4cf+LtlP89T3UpzK
DvooY49Cl37plKP7bRJkOELxKaP3M/nnCmq0VuA84YtWoraep8Zwpg4L6I9FCCIx6jkyPOupSbV2
Vafq3u0ZgCa9cEb939pFbWIeKrRbFbHZEpT2d5cK/hktWQH/BIhO2YXBKi0EHd+WwZvpnWsQYJX7
dWC4R8YgCOy84NUThhdPgi0UOa2PdpDUe9h2azmu81WMWQ/gDPJkUa6HCywPANOAzwf1N0kqYytJ
T9MkWgJzeJgmicVEzc4cUrifTlUS4spgKkxfTSm8n0vx226mr367Sj+JvvEAJILXfjlAQwi8Rlwa
YzdcCrF/fJkmHZxzVqrq3bTxi2nR9DH1mCmizv7lMsIJyGinFaEy/3OSwAd5iGnL6atp8/vstOx+
mGTacJr/H5P/+ej3E5ymGN5qm94vug0CQn7wJM8ap5rxY1p2/4Lw3F/L7uu5Woa0dlrnvsn962mT
aRYFrjcXfZKz/2plSdPR4E3f/LbHn6XT5pqLOxnmIcjHyO41Q+79nOwf53Q/3rSvPw41zXrjTSHI
arO4b5t1o+5xmqcMQiblgcv7jxw8uYvC26mw/x4F1mMEmhgYrKdFPyve9eFTKPhnH9Pkz0pj0vw+
+9vXP8LuKc78M/kTSv5bDH+f/fdfT4f47SzdyiExZPnArDBZQp40jrvDvyXxuSuMccdWyHB7x8Py
Zz4d03XTStPq0+wgkCNor9PSacF9T8NUZjHNR+Pup6n7lsk0BL9vY46atRo3CWJvwmmq8qmkBO2q
NpYC/UxOVUD3UqEuwY8h0yyUqKNSXZNCZdHUjKJbAcRNqF5iTdM20iinckyyqgnVNEYPytuoUIsN
lLBmU+LKHGt9fialsR5I429Fen/M9/5MTku9ytipgeutp7npY9pwWu8++9sup4XT19OK9+2mZY4c
NvM0wOIqdweSw8gaPvC38xZUiO+GOlW2YoLxKmMtf0YkZlQ6/SUWVybNRjo17QRfSefHBfCctKjg
0hHRb8fMumo4up1Q/gp69jio+S3VyC5DHUeyNYXHKF1E6EC99igcNsffPU3dP6ZlBGmzRYrtxA+6
fCgUwCFxHtCwF8qzGtAXnBmSbntFrqxdTGS2jstHpEt4GA3SzY87hi6mW4rUJNHL0rULnpVk2wty
RZVfgDtpc38xzcZFDiWWX0H0Npj3XTigb2jhHPnYyc/Dhr7xJD6dRKpkDqy1SyK98vN2I9VPmtK8
K/TAVnHp5jufaNDOKkmVWFbFG0JUYAxKw4MD8VDPatHO86GkTiUvt9qoVJimSrMAtjf6nIxttDlK
vjQdDTh27NQKjHGVMht9F6bJ+0JCNSel9Yj9j0/Q9OGNNV/32Wmq6AVppcTqcSoRmD5CryjXRiLB
hY16BnO6KG4F95SLlbDGYgVflwn50ccl1RhuCS5FBAFW1GfZatqfG1EZ/3L322+ampblYyLUaDCg
jwxxJ6RphC8iTwG5GX5zYaF+v89PU7lck1pH19jbJrRuwcCMOcyM8S+sUP+bJDg++NO8Z/JVlzv8
VVq5mSeqUUFndmogtiIa7tpsBYlRpNptfyYrPFDqUt54wwBHH6W5W2Bs62Zj2NXFpNpLqHSlxu7n
I6/HlASa/jowt1VRmttSGfByMhPswCvFJWsMtxNjXnDPC69bKjzIoKI6ejS21F9KYtAPuDwr3qZ8
6N5MauxwsiK4iBHSU2QL36kH0GhBbblIPXE9D3/5mFyd/WaduS8MHrFcplytr1+Wn0p2pKRfReDu
wQFbNp08XxqNv6RoWMMNtTfsETQ8HF3xDFwqV3/VznsTj7sOIEFacylZRjhePrXeohCWovceK/ua
eGe0NbtdbdoRhTrJIgBsmb54/SYevmR5GWiYHnkUtK8I4+JCLAoELcm/zRuzWbXqo67aqrZRlF3j
PhtfOmUE2qNmLckpF5JdYIukP3nKOo/AGi1NXBn6nQqJ2TsU4iYTbbNYlNUyhRftrQdsV4E1Zcq6
5HJCCCppcCgQiPwD0PQaAog5B9shfI9uUQbpSQgCqEakYckenezkxXg+rAC2UODcm9ckWrf1cyyQ
h3DPWfVLb9bF1twZQB2AZzZrpD6AXI0OUvzGE7S5SSlCva3irRteSRiTcHfEo9tsddMuiV+YtvLe
ugO0/DWFF1m4kcN9XCIlo2Lv6AFIBLbA9VVuvvI0ZprPvbum2L20KAafVd8Qn8WX4snEbl60lW/S
bhL9tZN0AOciRLZDbAL4jTPDVBYoe/MU7Dpr2Z5cfyE9Vgd/oZhLF2dV8KqwXKtNr286uNjehiSX
Vnwh9hyinZsezJBiazslzTzsTfkjQEtibIcCxB+YOOuSCkAVgbKtvWFbGICsdoG/bchpm8qsY2gY
hN+p+6SWB2yMh12G6S2aNTBN7prCzEifCd+JS/99QRsmcJt23jZzYamM8B+1WQ/ZTvvmmVW1Xx5k
CTDxMmGQrfSdFpck3GRUb4jjBeM6CYg9UF9wd8qGnZuYxlFkjp3fXAeXSRHNGxY71Jj63SpNqGef
jwBeKs6DA2PSBP2NOjfMnVgBwF3gSn7VhKWk3nDiG0Rb9RYlDn+2Uyy6cmWku2hYtgVdh70BnAyQ
RaaTKpip+wGRxhLHhEevmAU2fnqRdqnkDUI8YgfQG1d9sOrW/ExXd2daZNfVBmgN+U3pK3jTBU61
m+EGL4uU/l/beG/gUn6TBaIhr2Jy8I2T/4JdrQKmudlKKBVQcLxayrbkUXDXsXTOCszD/etA3GoA
oMpTWwQb0Z8Q9DgQqeQQeygYePHuILiSBnRIQYZbppF14AkBEgXScVB8VNgwuMQXpFsNVz1aFAHw
9BHKrP8iVW49gvzUlsoRiiyMV4N3szVzUIEgQgeB/AruVMcAagyWrbJ4zbAofSEuRE6zBhQ3ugQv
2EsJlBQlNUQsOLPczAaQL2UHkdUefRXwOaPdrGcjbhW6KFRadP+ciS8gfFs21SMDJ2Iw2Q7mh/KS
17YRLSu7vsq/HHQ40Mk5L1x5HXUWmUf8qzgnp1yb8V5WCApBN3ZhmpXaXAWNa+0iBM9LR1yl8kMC
IARkAU2x1O6bdg+w1Puo/SPMibreCO8Rf66c8FaPFaF/bKCCyjOAof5j8hwf8i1smpuwrIar568G
4lH5m6KcsOKs4afoCX245egomK+V6CB1e0Els7Zz0Y1kj326ys2lIeysiBT3rAvn8QXZjqRSVzsD
I9NHdnW2nmOu/2f6ZOwi1e5sdVk8EJHM1I17GXbAYwdp2T1bZOf7tUi8L1w2Juh75NgA9UQFT+Ol
D4Svsewy4l03d/y55S3CASnWLOfp22fCTRNwGLupw7bvLy2D0vLdEvdVwYth7iFA1Pgjz1ldC1Zu
MUeroqYPFD7f+mFrmhC9q7kfbOtoaaDFrR/c4LvtXxuV8tJymPnecwyhuqkOsnvC9mEuMiOuFKjq
0Toyr2AeotwOnb3e2Q0ti7/NxIWfv7d4Vwo7ZLNcoZBXoTkDB+d3hKygNoJsnVloGJiWZs0v852z
PHkvvrpj7+GOAQ0qCwWutj7zbvqc+NUVMaIEZ7HCwY4as1nCOHuhUM6PLOED2GS69op1WC9uKHpG
JJs8FyDCGfjELj7JAgPD6xf6OVwWG/WigMZfBQuihGeglsqbY0PCRagE706ZGRBM4S9nNAdP7g1i
pfhgHAkBcuYE93C0e4Yc7Ti2RfD4UT2bvzLbPbiHr+IZdqB2hDaMwK1wsMmeC9yxzAhLYQ5C/Fri
QOHYMQROf4byc+attOvn7Ctb1p/40i02ZEfls3JMbPnc0yjQAXgEjMgTkzwHz3AeYW8Wz9q1ceZI
SWN1AcbQuenZiDP0ogOrtmPAd6NXQE0B5zpnx1g28iNwPzOgcnSuOSMOGdap2829hUUXCv1LA4Ju
CRR5hokZNOb0rVxnJ3/Z1TNRJLR4hVWA7Z5D7hmkyNIHy9/MqVGioAF2dpMcB6yD5ljVfiBwgg8Y
QI2SV9LzRq0X7ZsDs3DfL10b9nl5FD7FJ8BfjT8r310eg3ibXjQ7voiP7jY8WFhWI//S505wbKpZ
+piuA85q7V/MV6LUfCc9A2UFTjt8GJz1MuTUYFmlG7B8LgIbum1zloHJXfiXEqVONYMIBkaFJ4ww
EaOnR+mGAVvzID+VR7Dnq+as7aGXNOcQip+y4GZf1dZc5aIBvlX25bE5Fxtn/YZqdNgP+/yorMx8
7trg/vaWtzzweKOlCSnP2+NkVtzGGspmthroIPTJA2vggjBjpLPXVt5rtdEafni/NLfO9q187/bx
scMFYIax5SLZy9tk78mzYYWh4DycC8toYc0w2pwFByLeM1ZZpIdoZUHIDc7VRjfn2S08Zjfhxb92
i/o9uFmz4GbMxO/8qV1mG1xNYGzOqlf3GcqjtrBuCtFdgyZgwWcML3ghrXhrPNOScetwhcHBYl5L
B9GdkaSiDW/PFHvusWLPNuFRsLUFNOMbXJyFM0/W1jmZ+yvjFfScUC28g17Mh1cSBfMOwjUtFORz
fABfBcVOoc4yRdB9vnbXdEo20Y7b4Sm4Vfv2OzyCk9vn76BwUyJfL+L3S3z0r+BUv73X5Fdsi1wJ
2hhtp+1q1BFzOGm0nw81NIX5qn4TH/2LngJr4A9f8lD5s5v4lWCvModE1T9iKdLNbtZH/QYoC0Tj
Lr/EtvmuPhav/ZGGkAZSfS9eg0/wZcfAXQD+34U7+VGfN+f8oj6GS4qGZkD3DnzOhwV5qdlHNjJO
KXuaJ/jpzrS9YWObtvVexpvOFp47Un14wjOmhdz1RnKvPvgzsGucSXyR7OTEK3Gbf3GvogBLZpth
F6zKxwHiJm3Zcwqw58DbKfya7vvqOTh53ox/O56iRbeL+XsFiwqoub5FTQmtNwPllEDsmflfJP/B
I+NeytsNfp20G/1muTTqjM1wHYOLDEWz+xg+ggfBmZMpAHkpNSvs69V+Dfi4wrzlUfgQD7TL+lxb
dRvB4dFNzrBn7W7T8Qfpj92v4hVUMKQr+H+z5NbSJf90YefO0yfhNIBxdkc0ew3OryQ989QqL+Fa
3Lgbf4MoB/+TfDVgnSIclEOV+kvjGn8hXdDKhWf9Cvt57iIB5pXZncNn05jhfeZd+qu4Nk7Dvu4v
4aHY0aXQOjJysEOhFYPkds5f/qXlUnfzOJyBlW3pKm8DqPLDczc1gFMrgXk2jQr1rOVj+uXiCjrj
l2sfsD75t4KaS/vBa/Cjxbhgrj5Vm2TRbSSGau/VCQ7MB1JAQZi3VzRN5jtTxav3ou2bk96NZz3s
XYzJrw0I4gIc+ax5MJ7Fx+IUZhDQ1vFl7B+8SR/5G6eIlt3XFvlX0++HZ16IzcdI5CIvMxLqx4aN
LkJ7ANW06JdkPqG3b/vlR2PTw2OseVWO5oJ0GW2FN3eXxYm2lNfk2wCkvl+Xj9GJJi86tQeua2iL
c8hs5Kln0kneQo2a0QWaS2/iBlakvreW5oYHH4IMkKolqjS7o7nR19ZJXIvH1EavqN3c52KFtJ94
1cyjGXty7Q9kY0ttjVePY3cXfd/MUl54wYnzxgFCopEU592K0dhzzhvnw/g1vFbtXPslvWonk3c3
YLwj6Nudvql2Xjm3rnKwbI0lrC9eafKZ7iBxGG7ax85WaJ7hSM6LhbCTHkyorPRQ2fP6bC60K32K
9sscf727bXbpGo+Qr4Z2wkZMP8/nkh2sggf/El60XbJqr6sCO+tnHM54WkH2yY8NT+aFZ9Z5IrbI
H1D9UvxF4i/Fp/69f8/OxS28xsdqn9AKGp/WybsZD9KpgGC+cbYAFI/mRVyS9n/9gFh77XZIfleg
w/kHpJrXzhCj6k/ye4SH7DKA7RzZCBCBBAovYmQrIEDpQs1h47+Y3oE3jfhUOnvkgPSLt/qWjPOa
1Ge2YbxwCVbSkW4md638aEmwzWmn03bT3dyturGGBUo30AGD8SX2mCuN+sGev+JQLYxbdaNMAcw3
9xFI51t6tZ45iQ93TQc/GPOmU7S1oWOly4bC2Ijx0RR2I0/IvdUi5po+fpaV+PxS7UWsgPiTOSYU
pilpDFFNUz/RKIR4K0ioF0YhBKHUMTw8fUyRqPvsNOX2rTmTW0WdT1Go6XxMMdrWnpUtWkN6CNuh
23g4qeZOm23AzYC9LI2N1NIXbPxdKbzBRMQmuVmRUiFZLfskhyGbmzzV4+n7QmtLRpjaouieZGLy
6yJyGQCPHwxddBE33QkmMHlMTlNlqRTYseA8Nwr1y2CM6k/+kgSAqJifJsNK9HkLtDSXI/cn8eDl
+SYRTPPRNYt4Obgk7NskuabDaDGfjOUGw1gq1MOGKlRigxN3QhoXdWORkefh/E5Sf9Q0En2RRXyd
6FFnnUuCquvGTnk878Lo0Gc63aAJfzCREMQA824t9MknO5m/7ob0KCsKDW4unAjU2oVbRDScnJPi
4l6lpc9dAw6hRqg6n7wcK2NMj0yTdacT0vAxeYmnkO4U6J3iutOUMSXr2jyH3urG62AsAJk+Jg6E
PBaF3JdlQk19i+fCLO+pR67HmokqRynYjB/T7PQhZgSumpYR2BQHnT5gNObycprUHedS1XGzmuKy
P7HaqVxDzn2KNlpPF2xKDFCQGlQHdWOkvP97Shs1lNOy6eOP2Wm9abNQAORHAKl/k0woF3r5FYrl
l9iZ2BcD6wpDavoFkfdMJaU7qZJlCmiPP3XW9yLnXFI6TDaGY+xs2tpF2lIrtEQqUfFszEp1o4Jv
mgpNC8KUFyJR6M4wnwCeT7zgOK+NZicp9akmq7+akMKDPFKyiKoTI9WfDNmsNz9z0xcUdRoL3yVm
/9vCabuf+Wmy6ZZWYmQ7ZSDmqtHg/6ca9+m7qWZ+qna+z05T00dOZSB80Wh9L62flv9Uyit1UVCQ
M1ZOT0v1NrmYtVGt0tzAHE708UXsRe3gW6MiXS57qlmIbDqUxnB5KfqbWAsCuuwlYt7XNNKKdWqp
m/t305Q7FgmaE4hh2kCZYEHTV9NHLo+AIbXEzC7NGnCmI8Fh2ojodYXD9d+Uhx9kw8+u7kt/5qcN
pk2nnQYTXmiavO/vZ81p4X3z+zY/u/9z9U5zk1VRNA9/bDIdsDWwfmoBrlDpx1n/ses/z+y3+X95
ZvdD5xruubIVkHkeARbToX87+99+3c/ktOUP7GKa/O1IP5PT0p8faNWMM/WIqO20cDqTP078/sV0
5J/y/mnhb0e+X48/fsy04v84g/shhrehUh9J072WY3Zwqv+bSnKnjz+W/TH7r1b5jbN33400Ja3u
q09T90NNu00nkfh9nfvX/2rZn4eZdvHHbn/WMRRcm8i3raZixZ/yYjfo03VeBr8R/6Zvp0rHOw/Q
mDKctM9/EQXMKas6ff8zOa1P7Z+N3rBe/6tdTGtMH/fd/BxlvNq/FTv/LBzf/P//u5nO6H6kaQf3
Zd2YBfs/7dH/RnskK7qMXujfa4+OpGi9/7d4D9Pqvwl3/9rwLw2Spf9D0xULja2kKpqm6r+DCNAg
qbppibJmouAV79RQFeGSKOoAPdEoIWEy7tRQVfsHcl4RmKgom4oswij4Q3P0nzRIkqGgdPpNg6Si
HFYVA1UxZwh+YwKl/q5BQh2VlXqHtY7yU4k5lWNG1WgTXxGd99HF0iKO1LnxfdLgZI1e7u/5aWEl
urh0CQmVsGPVcT/lncd+TKxKm3TiO0UF8tSw7RUwyTVg7WgqyTbGfGgRksfo0BH83Mzjw9K2phjb
/lhhzLB3IhO4RZknP3jOaV6TnR3GDOQL3djd5NCRETpdk4Y41uDFT1FqQg1RrqIbiXbSHLtMGkhY
+ku9l7SN05xCISF0FCBZBDjwWLrDLRZbDHLaeCPAKsbNHsunPsxWgWdKpC9NqPiqecHPb6c6HsmH
Ab/YMEvxoOurhYPuetnh/laR010gsUrnVGSNOa/8U6E0CBsd45wp+ktuhlc8Di69WD1HWj56WuQ4
3VHX05iggI0YmRSGyDJSAmePCjij4tT61rtFDIyEmiOAxRUZ9lmSVQerhugVtwe1IsEjDNpzHvcn
LUwukuLDwNZJJrfxJQEGk8hOZA/ilb58SkX8W2MRg1JUOM4d44a4gwg57rDyyudO87aqT/FPx3hV
i0dhcdthR+9a/Sr2M2ttaN2AE1aDkJO+u0Ddg5MCra9xdAqUvVclb5nLVe0Ml8CWTvRKkYad5xev
aK5vTp8/SHlxNkvj0fKovTMNUsttYFuxfrCwEMbRnhREfpEF2CzESEK1mQ9dtmvbIqA+Kv9FJSsC
VyX5ZaqzDnoiOAZsFPUE6VP72bblJ74D5BfrauWGa4+83FBGW6fUtjWGCZ2QrRTR72CHOdgI6ZtC
VDsksx6Vygkm5amafyOWt5B+Qgb36t6buRfLkE9RhW4dQ2I5ym5xQza+SqhO8zztO6a+Xwv0XVC5
xEooi4TSTUJo4EcLAdHFSOJaGjU3XuG9IZ8gzW9g0lrIlUL2jYF8ZMzb1vrItIjUVFuckuSlFRH0
WWOxpsT9gL9d+iA9hzKXihJtWBoqqbTG2SsY2o/3UybiVCWaF1ci8hSJJaa9Q3SGCpK0wikkGd/E
OLEY+klueuImA+FW6vbXbdoTwQr7X4PUHSN99DKtglNtEt6uQgxUao0tpfhSdBiC52L4VEjOs5JY
x6omvVeLhK990HFtXBPZxMlBrcSzUG8N5D/zPJQwoTUDW1Mo3VRND9NhQ1qZWfaotfqvmmLrRRjj
9dQQZvOK6AGJ5rDSwoDReneCTBEzNoVlISv+VmjaeZ4Tm61L9ZwYDkYgEU5h5FZiN3yGC9EyVLML
pVTnIuh5SfYPhVnd2pAsfIQrtIoWgsE7LIxEj56yyiXmjSZSKBZRGrRzJPZ28dA2+JhXmBKp8D7a
XjtoAyr1OiQu2GrupeoUaH3izqvnGhdVTGTKS0OM0aKs/+YAr7GvngWP6tOw8D/UuNuIuMw6ZfHg
6MEH08RgW902BSr18JmrSff6TbhSnGDv5+6VnFoDh6jBqyodf0+pufyhZMLDCir5uaziQqVpmK71
XjYLk+BUStjLufl3UAm2S7jIIsZeiFfLJQJbSTzTTaCcIV9EBbl6PyovuuI/jVReoXTIR1T1phXw
9BLT9iwn/dWo1xFvCW6v4K1RTEgDpf5dmhWeolWYzVyh2+mR+GAF3MyypuQLo2q/RO3oWL3dueap
jPwvR+okip/ba6VgZBUm1MimGGmpPT4RFmO5pVfqS3PgleLVzkPjNZ+lkl7FrHnrkKmQCE6OqtyT
3MZwhV++MA317FnJpg3aZGnU8bvQFY8UTS8aWX2EZbIt1QEDBSzuJXz2mki8OrwEjKb/lmQir22+
Vv3gu3OTXdANK0HOcMF1eZtUlUoMO50ZvoV9cU1WSiHomGdLOT0KuU+UQmvmZZ08iuxeNo1gKToS
ok5FtKOxtsGp1xQcWp96QFtRe+fA1D6HXu2WnWeyE98/WGaEkXFC+zcMJPVgUB/9Rt25EVYcgfrs
+OKX4cjbNFVxtRtU8AKqsXfkZkWF987oJWfexGh4nRpv0GKpqkAnZOxQxRi7Kzl691oIVe5VdEDc
x9VeUTZdGJ/VGIIKXEbeg5m2LGoL/ImK0aW0jqLkEjXRlxsoh0EHPW013bupdOLC7NJzk0tzf3y6
uiFfKQK5EMnzvgZtWDYt1BgHsMAsAILf9mQVBQozCBOHpYUqgbG+2yLdCxOKUBTjaCbOZ4Nby7yU
cD1Lho9Kdp+6zr+6JvHvJhht3nPFBheASNMQXxKQPCtNoThdMPtNlytYzRjNRs6LfSeE555qibHI
RDNo5BMBqj4IB1EbrlJc41oMpyZFqF/o6AOqUD3AQTQXQRWu20C3s1Za5Zrx3HWFRw1IvbFkKmNK
Ex9QxgMrt5Nf3RaLU7dUPmKluDQU3Lp+gIf8CwwK2+i7L6urgJ0bh6hVHqm/fQAZirajq18Dw8HE
3Gy35TCKDIjap0J5zV1KU2kacLiyJVhnlBqnFyWVr4imd6YFNogkJdGgEGse/SzJ5EFlVjKTGwSE
VZmF72qLZkf3g6eM+JQgBsos02Oid2K9MLSM9g7XXSE18nWaEIyPB7GdJRr3TZOObjCETeuBnIsZ
5S9aS05D1Fieidy5CfgTHJ8BoqQUwsijJZJarN0ksvVM3eqQRRt9zGX5w6PVxTvg3Rl/8VdfavxN
MOi/vFBe60ZOYLoVPizVIMGmnaj2tzZtSJ4iIrBHtc5b1WriOs2CtVkq6yYk9SGKobhq3RwmIHDb
nY83SF1jVJ75CdlZHnE9zt8VNbglPU1OUeRfSl+GZBIflVC0CAlTr59E0T6r6A85qcDjoDymDY+r
l5lP5Hy0zHz0G0wmFMN5DkMkQppXvMpmdOr1lJB1Glz12PlKEiiUgkX3yQiGRdE/I3bdghIiR4Rd
bSVghqLE3YeSZZhFu+IxUz6GFCPPNrpJVkbi+zU+NqNDiCuR1SkiWsRYLW9YAQQIUMRnQRBHfih3
ggNavSnZBG+XZ+wsdDo/pMeaCtA63B5V7SAx1C0ZAWq+AOgQ28g+NeusWOJbq5m/Si/l8SnbfVgi
BrPU4NB7aIBS3NosD787TzyXBlmtADtXU0GYI1d6OxOhsghhB4fCJIDr2bUabWqR1FYXuq+REn4E
ufuej1YzSnCt5OAoOeLB6EnkJLG4U0ppVpXAcIaUG1HGylP3uqc+IUcXD/nDYCpviaDvUg1GsRRF
D3Wk71OJ31h2hF98Ae8tSvZS91lL8e5JQm+n5QrtLpkamr+FkKAhkcngCzr6DisoySB0L1owkLyt
srNDx5qfUlOIphfVog14CXnuCbepFsvgtSXbWhT+SiQJDsWAXZzBS8vsPwPkJ7hGYWZqJNHKJF/Z
l9qOHrmgwt7yMf4Yn/O8dW5+aUABqsQMdY9/EC0K5wZPU+ZGc0kVV50HJQ1c74GAEhAAWBXZOlFD
Fhk2zrtLVYBuDnRTEkeZaz0eXmqZPodS6q70/DMp1SsaaXmGKP69M/HW9JpffV19yfhX09P+8C30
YJnItfKc4FoLKimKmuJvq1k3oBtsyamvkhyve63dS2hndJkIUe8Wb7VbIiLUipWfrsGYZmUQ2IFv
vMhBjJ9b/u1VvGJ7KXprZRI9WAJVRMtmgxxepBpZmlmYn15F5kRM2oMkhidLagxYGfpHhSu0Q03I
cgjHF16HWP8rrUUTr8OinPl6vDF1QV73Ys7rv34A1/ChBI5Hv5dktJ12YzxSMhBgiFR5tXVpwFnr
PmlwroqnzSzn0mZU4LntPKkA3aQeKVs/CBdGmF/aAGWaYqWF7cFk0ILHTk1uvevy+p8oP+RpwQSF
LXwZT0QlJATqjg7BCtikhoFTt/HNAf5/jSuZZ5xaRzzJWVYuIBpvqrxjEFTqc9+MV41c7/O0fZCL
1kPak9r1gM5OtD5Vt7+WSqRR85KfYW88iZn5CgJjLwQ67YvIA2Y25gLEDgI4nZu3jUG34D7u80xV
of6rL6VLSIF00dVj1b+/9xJaqNx6kiXHXVF0FywVXxSBEKunYqxer6Sn0PCWOrVouYMcrmlH8km8
65xb0FLIqEdjrxYlW6sHvAB93KoF/1CXhbfyFex+4SPbeCYhGrBIPzuvTitVG+wWENIgEvRuAnVP
i8QgrV32Jim3eK+0MQahsfGoqN6TiQc1JfLHjOvqZtS/pdFXLYtrKW/2ifysys2X7zm/3KF9sQxy
vZ7+5Kr0ty1zy/j7rGYGdlnZxTHNbmH4GRnNzJmX9JA8C02QpMGxSjYSyq/CP3VAsXE2TjGvtxqq
gNbE6O1cprPQxaTl6rZPl76OQslNs1uZU4ESYL8XJgxqLTFHImFE7wT3ccvyOlKUnffqFVSIImpz
M17zluDtKz+8ymiJl1bvfQWmuqrdm8Z7T9aXn/WYyOrwjrITVHJ3WXw4hRmmeUDe6C50yV9Os3Gc
r72Me70b4j62E9Jm7mgAMuXXpkyb5Z68/2LvzHrbxtot/V/6ngC5OTfQNxJJSZbnOE7iG8KJE87T
5sxffx5SdT6nXHWquu8bMATNojnu/b5rPWuVqwN3aXy3rt+2z+VThMVZNsSFdQLnwfbk1kcrQzf1
TQvG+vtzUy36Q6pM8bwf+voi2t+k+sQDKvN+mvPJV4V8DddCyHYzcqT1smyRjq+QhaIZrb2zNHa+
n3Eq+1vXMXITSgqxGr0MI+RXdyM7WGC+go6wyGGtLFqE1I/9MAUXE4A5JtnJRAC3IbVze0YlESed
9469L9f/yzTbyFNXSuOGyt/u1Rs4dru7WRHMWIRHnZ3WXTtJ5NCsEVzb3fWmUqLSAxrdaErDxXsk
5WH7t/IW+5j/293t0/aGqiMqsLy63F07lFYJW237valtEYa167DuyzKJi/HhspYSpd5tJoltXW9r
Jeu45rerBeZ9/W/rets623OX3WF7vN3ouQvtpo+PjeF63dg/bhv+EiOwrZr3vWF7RU4js083J5y3
mIqrbSEvLo1uZc+JjnLHbDbfu6kFcUsG5vYlRmkPi68YelC4ocleRwmk7E6RHgflUiFMEfPjxuHf
+r1Fit4UpVQQRQ0tN5U50DFaWgw3lHaqv/zwb8uw3bXBZ6NCi2F4rYt42XpJjMS+HHThvRseeph/
R6vVvekxz7PksnInyn2oJN+PGpBd4YxUkl73xzWoN/FtlRwcZWkDPS4RmqfAeRUQjIA5/rstziFy
JewVArzuVdsiVepwX8hxuDgwAIPe5RZUyVo1h2XfFhzoo1AumJnte7ZPbvcuH1+/+8Nzbl8vCN7o
F257wpDm1BKqkPoPyy0myz4aodhtO8O2+6xvsJqFNxgMi+toPm578NQDBpxLYhh6YjdtylKhsx5p
/+PvwtQ8hTHNYLdEjbj99vaT29Iu6Y3D0I2hYWXJ02VPWg/NbU/aHr4/V9mo/jgjmWKx/dDGjx/b
+b29NSG2928370frb7vo5e72+kIZFPkldZB1ZV8+0sXmQXnu2jK4bNWyiRBlR/L0foRv/972ke25
7WG07oXqMAQtwRGH2E6C7TXj3ZL0/vmPu+D2eNtC273LZ7bHl7sfXt8efnjustteMETbS1XBKMrM
kQbXbb/LxVGDBEHanmXttv8Tp2+PSR7n/CyCtI12zoqZ2Lb4iHDDt+y7cukeQGVRrnSuBXqOZXUe
jNlD6ehEKiKoH8hiotb4UBbnqkXnqbkCymKVqfKoKwgNGqU/KjNUyO2mwl5Lroi0cFSsT9q5Q7e9
VqPRsyv0lYsINfCTQ0wVtOGV7f1/f7d0wjoYHfEpy+vllFtPs5HGZyyApPcmI1eB7XEoLKRM291e
SHlMpHoY9WmMAte04Iatb48wWO4tpw+sgjP0FpW83birWOX94ftz00bH3V6+3N1ecrbd/v39//D6
+zcnk10dDSnS6dqc5BK8f/y3r7vctdfF+e3Zy0//9sT7Ar5/y9899/7r26uTZb6UoXSig96a/ocX
3z9/+TmxXnM/fD1JrlFQJ93ny9e9r5wP7/ttUd+/pqMEthsFc6n3nwJQC0xZ/RaXKxNyQzL/dhcQ
QXMlipl44tC8wH+39os2IavZbt6BwNsL20Ms2UEPqBCnzRqL8AEGPG9PRhkCqnaKIp+iOZeRjQy7
0XJ/e5wVNVLGMmIQup33tz7sduNuO8AGCXVlLbHVaA9be+YCg90akCoXON9smdRs/c4BRCBjMVun
Trv2O8cmvZouPZ1mG0J02YC4OcOMqKwh3WUbx6r/nremohIH6WIdN0vzxVT9bp1+d1JjeXsp6B34
mr1meawH7XYP6O0BX5+kUpkQPwz/M4iY2pDzvLJd03qIvHK1ETqrjbD+z70Pz0mp2sxCRywdqwhn
45huN2MEmf7yXKpOhwzNKJ459BiIdgbDNQ5xw1hy3Z4b9XW7t1Ff359LRrFyQTU8inNantpNK2Wu
ntBpcRkIb1t4e2xJ8RxWVehv7bWt25bQGUHDsjKf37tvc41nktk1FeO18bYxf7d725b+8Jy+jh+Z
+/y44JAvHbjf0MhDSU1txfe+t6/fO3LWpR++btmt3WwBH44JzzpuzbhErWKuc6uObS7oiHBOxoSZ
Jag4k7q+WO4/euO3zZyWUDMUxqr9FrWyrBZLi7O8ksbgztdtG27heNvjaAZF1xT5Z3MNx8uHrhrJ
f09Xu9e3UAXYv+Ubvt/83XNUYI5K0mqHWMNZufGbt5uupAzQ2nrmvz83NxFBCBHVZVcNDU9GNQq1
5LseufWJGqTpj+3w1dRWoci2naJtE213e04hoYji4JJq+L4ltg3zvnViqTFJhTy9346195utM/r+
8HJQdhZhP3P2c9ss2zH4d5tq2z5jJbBfUO7aNkqNVNioC+uwJRteNtF25DnpYO7LVWHYxvC8h7Wi
PtszrpUSj//GKV5H5ycCBvFb0ErbJVn9I6ST4EM1ba8ijdWeb+GS2+PLXTdCPa7GzJ+3Vaiu6/Gy
vtd720PNGJg7gq/fjpZkTXZqM+fLdoLcjhh3ntxlv929HEuVlZysivpZ7azp5IUz7XW2PgkcaCtj
RRPYbmzsMarIjlNJINSWuri9ujGiw5I4DWupn7d9aUtVrAyUY+8Pt3vbc6aC2nhkALHtabEACIzB
tv7/6Q4//2+kFYybVhLK/yytuK76pE1eyz/pKv741B+6CgeAmUZMg2voDmQz0yLf9Q+2C9kPquEI
/lxN1XgF/td/E9GIcBWOAOziMOhzgT3+h4gm+ELXoA4EDQ2cme7+v+kqVH7/N1mFqWka/XPd0Ezb
1AwbMNqf0S7JLEdiuTR5Ilis9ZIYp6sj56dmyYKMWe8e8o3io3B0D7Oc9uZUjAFzwBoaFublZrmh
6h7MNkRg18quHc2cD2VzM3W9SdJ38VlLccFwUvAqw1F8N+9QxnaOcwjrBvbRhPFVA4VhdJCWK2Ig
hfyWG00RtBIDeAKjwetl0e/lF1p3cZMdbIk/t8X7UldfcytZgjLFxlb22ikdFBd6LARTJbSvF3fs
geYae4DJrZc1veM5vXpwSjyTrmQhmuK1yY3+aBnySTYtZpo1BrVSO3c/IPPcGZqAiotXs5GOp5VK
jzd3UE99RBBCnET0+XRaqsocpAVDaEZKr3XBF8h6Rk85F8HcuBWwgWY6aw7Kjeqqdp3xTs4tePAK
Wb0LVSoZxmNqTW+t8y3WZO25thKBwKJn7VRCZxo0IZ5PUms/anrkRejGXcOSQUGNdF8mAja64lAH
skLfiWzw0o7xMmemfvxtj77/K4ZO++sOYoA3Mkz2EvY53fzA/klnRw7VUNenWnefVMoW0Ly4yZ0W
Z6XV0nWd8VwtpMOTX5PtDJwIS2L/sTL/eVk+JAezr5KRsnKIABE5tqZ+AOIJRVMJzM6IBIETsUvq
8puu7Q2JVaW/j0TxWXHLn4mR/9sa+BCBsv6srVMudjTHdDV0U38+RJbe0pY2tvJTqyTXaoPfmB17
DcSO1wSFTkiSg9KEthP1SypuWEDasTyEI5cQju9TUy3P/7weBGinDwctSE5QioSycP5Q1ZUc+FuE
cqqKlnzJNj8ZMSsiLRVj31LmI+SiO0wV3nKlx5VsGbnlW2l2Hsuc0UueURpZ+v2Eoow6uvtzmKjB
WxbEIReOw/ZVVpj5k04eexumn/55ofUPOMNtNZoGaRSG5gBGcz5svYgjAKR2ykK7zLqSdsa06cx+
Nyj2DoC15qm2iUN+bL5ZmkqSZMRxmISqtSPOuvKleGusucQ43Cm7Xqke6JiRB918zvEeN5OYdxWJ
BPD+93mTfqfEhhlOtNkVdRtsm8r8HVbELQL+tcWevE0KCSWhWVHJjsWjcBqa7rn79C//8bpjXI6o
09v/+V/ruZWNBIDLsXUVcBTB2X/aTLS18rjI1ORUduNJV1DUyiYpDtH4OaZbc627DnJuXHuqMNIr
zViYoSt4lfLFSnb1CIqiRkMkh6EIbKuBQinNIOl1L5loOonJfRoaK9mn4W0fZpQja04Cbt3XkBDC
V7fW+p3ZN9kVsRpqUJr9a1NNy1Eq0G8qci6a0N4nkeEbQ/hvx8uflXrrv22qqNUJQLNdbu0Pxwux
0TbobD09ddJ9qlzSsxWx3Mkw/670qyrhVzlXSL00xZ/auaX9aUofpzPatgC4ChY+69y1kYUpFfj2
v2ySv1s2lk+gfgU1aogPBFBJUVTvJG2MZj6qMoOqkFdfK0dySWitp1phWkiKlr9dDsSg0vuojV0Z
WVjl8n7YjwMu+fUw78VLC8TaWObMpxf3wG7Zev3QOPuqw62sLfKXaajIC8TT4s4gf874tO+bSJNH
RYxUHsGse05e3LfpQFc0ogeu1Xhc0uSFhq9188//tvbXUxjiTEsDE2dZrk2v/M97YhalyAisOj0t
xK17Zp7eG+3i7lWra/b2kjyUje4ZZXcYO/3shjxYZpnstCZ+TAuDrkNCx+NfFunDdcWg2APSjqEP
Q5mVbvdhkVB2jQQjuckpph+BHGy5U2PLOMiiPJW5bZxigm+P0aCeheuAqrDlbWKPCoVX7d+WZD0M
fztMtyUxNVLhDcdWDVP7sL+mRYfISuEw7WBTmgbd7Uk5FXnUB0k6jmhr0DLNcXS1oIQAL+NVVVwf
yR2aruaRPqXe2Z+pqYV+3C9WYArTr+jT/fPa2si0f1lGHREuwL/1bLKuzd/O+D3eJGlVE6eS1rx1
O829knBqDBe/pnDaF6ROS6QWZzshTqmO8Vcv9c4chXprJvjbXOMtS2EOOfVbZrrpp0mDACNX9ZVT
3Aslj4jhQ5CKOaNE+lRggBPK576PsRDNor3J8Yh4DsJGxa7/de1/uCysa19zHa7pmmWLVUb85/9s
mDXm32aXnFSDoIQGs2JMHP05gXzrUQ5muo5WsaRlQQ2jYViRYzAM9bm4MlfQqbBBU5VH3BzKvxwz
5ofRxrpggqusZekOXjgYiB8WLLLQuYV2grILNWmHo79Nq5Rr/fxkqmO6n1I4A0m2PCLX0dYViMmX
28CQwQQvlkEoBSv6/qaHAkE5Ycvyqlq3TzSLteOSt8ECj8Cyx/wO3V0T2IMFHmTVzDqKdUzypH9C
+6QBzE+VV8rKJ1Mf2n0+d29TZtS+sWg9KZMogQ0BN8AsHvqmioO5ojvbVZmybwTNPLca5XXsdG8h
Uq1z1ve3pci0u3JgO3bZsTHr7tWhAUDTilXtV12cH110T70buQclW/ApV7jPtyCqkAV5+Ofd2v6b
k4DJzuy6NjMklOUfNj7D1RC/mKIcARvK4zgkXL2LmJ42/3jem9a9XgwPoWuFe5rEZdA0Th4sRVMH
gCh3lRaJQytzyCLZRPALyVZmXKT3s6N680B6oqzKn5VuNAGxh1/C3G2PHM9oCFxpeijWUQa4Y3Jy
OiPah1mISFWt7+pBGt/q8MkOvZaZ0zXNuzyQi/sVSptFuqJIdnpJFN486NXV0hoMO3D45TRJGTut
54fpPEK9r/vx14ikwzNHMAYRwzkPjidQucZg/tTK17id75Z8nPfSYb6gI7GNWjeif6/j9lYAOUSh
jI96A6jFQW5ZEx3ljbn7YkaKeCir+Y4lxp0uq2BRqvTKWKYrB2zdhej6Y/rf0c/q70b/H66XHAQO
2RU6iYImY1Xr4wZS3ZLkvJy1pCQdnfmyvaPkoh7rqUd8rEHXBOlbjZRJG6djIDOhmMrxxdtO9RCb
EGhzW9xkSpXv9cxoqaWCifrnXWg7O//5zIjmlsPTxjHH7cdJQaIg9AyVNrmMhZtx+ISlMfIrlWs7
xNXdyGFGxsYcjCE1vFwy/oma6mVOGCbbYMswlVHuXWwEzwsTsH9ZOuoFH64tjmrbjmDqYAI4dz7s
4LPTUnmeUvYyKYxDkqhAcPrxJccnFYQC7FI9jfNZMbr5XBYJ4h2gPwvS8stFL6Z9/88LpF9m9B9W
GDBXW3VNplIs2odRaS5REwwNzfFJz4Vn6i3u6Ilhl+acyqFUvvJSQNO9vI6SJD4U9U83F/WrXn3D
4koQtK7LH4ivGarGxXFcnBhM9U+GM/05tMfSS0IrD+JkxRwvkz/GDdpJTov7fOCoGDS0iEP+HPU4
joe484dsiu6lnTCl4qg+sSlv0ql9qyiY3SArqI8Y/O5DUXGcRwPJPqzJII4iZ7+4gw7NLvku0zi+
nkzUTVklB99NGQWbLmSF1L5HbYEd12U5B+nNreH8UInxwi5u0LYwkKUfmzI69zlflbpVG5gG0vUU
zaprLc6pirn4F5FBwTssgOKk4YjSZZkO8dD+YnPjCE0HPRCz86bLGrBWLvmnCgJLHBUcW7wMRxC9
e1E45rmKEswZMRpC4XxjZcc3ejk+hqoRBjbNAC/qMoITmEBzkXO0a6vuTD/Mo/E5tHNcYi3u8FJ6
ycGK0AiJWp65oL4okLAedOSWhk1JwlzIzynG2MTATeWCInRyoPn4zdZQRSc5yrUxKRjPFmF5tQzG
t6I0TMZ6pG64tldninWzTADkCgfRUMPVF7iexRWrz4FIxWF8qGRofV3EISOgScbDfOoK8WteMvHY
5+mrvcwjdSAATU5rzEQQrdcQgLbWqBseSk/zttAU90ZLzVM7duFtvoYQoVgBTDaNbEkodNgZxVEP
C/igUFP92nYpjnZTszcAgt7Xomg83SiPoTA0kmZ6cegER/VS9gR2GtAYdCVUvbiynyNNtby5Lm/b
cSL8x9LTfaNOLd1m65vTkRu01sqv5sQFsDGiQDNIIKKLnl1TA4L9BONwV6STfGLaXARWn9l8kjQd
TQFoD28yAXNTAXCR49tIfs0hUiwaqGYtGUHPERD6+o7ixY2xalQSu8X9kxVHdx4/GwsAJQZVkWct
vYegGT0UkyloNbDY8OufDbelLDS2lidb+yAMeaOmeXyTWUhXREozzSoVT9O6bB+RDbCjUj4drcR4
EPoAuqucGKf2eGCWqoc8NSUm+qYiIvC4uV/69Scs+9rOK/VBbbRzPDBt7AT8wHXQLcswSN1+8RoN
t4NjYTDISpTIYMhPVV4XZIhofqQsVN6kyRjR7oUvbVzSdpg5ATWXL6FW2n7bhhlMTTe5z/PO3C0t
ly/dea6GJnmQGiCSPsu1IERZgYlm1p71kAMyFp+FEk3PoqX7bLSblXgKPSWOUYoOkQgqqz1kYRRe
90gFEeRaQa4TVJdNn4Zytm4YA9VpAc9JMYG0Tcadq1jRjVr8GFSsA4sRmt6UudENnnfhJ617p+Vo
g+MKyXFrawzBmCUHmb7E+4Geo+euOol6OjR6HN2K+YcFG2luGu0mGxbA+mkF3t0gd0pJS/NaLWHj
170WHZJleDIKcYyrNL0eJt3wyS3BCKOiyWsdEtos9XrQppvQGjtfoN5+UKbe09Z/vJIF3M3BQUOf
9tOzU3eZH6bL50wT14wflWNclPLOESxcFiXhl7hbnpVFdXe24mo3i9P0KBEHsg8T81CMi/5c20De
lCoezoPOLJerYRIjwuewCurWLK8tXWLhSjLjSynIOtD1FJKWAPeGQlz91pBdDkLQum/dxTgwdWc9
OdQnNKM9JhkEeU0TsBsm50c16si/IkNhZcBvo+jzKOm0fLIUVJdyTsVZM9OXOu9IH+NwZSh5O9s4
jNBu+lOzfDUkp56GDK081yhNhD+LgaoBs8Y3UTUtyni9P+mtMtwli2QVFu7DkK3mDBvmE9NsZjgl
aXruhLhwNlYg4dG046dinOSdSq6ZZyR6yXxcX0l0N3Z4x6bM4U3I77Y7mVR7NagcPeehQRn0W8ok
XzUGMoXZkZUaJ/FNUebnPBGHJW8ezJhjsJK64mGinDjXt8Nepm17lY8IIBMS/+T4WlYQZ0aogRmZ
gR4SlCaoDRqtWbpDmj/fbt86tbCB1MQJgaqN0lfRRweG9mJMknPVaJI0l0MrmpG5DqVa3ywQTnUA
r16no+8VFlIp4V7lBju0Okwt0pER4F98XtJUPjQzSFJ07VeLFpIH0Q+fZGGlQR6BZCwQ9Aezlk7e
UlmP9Sy1u5hyuN2TzEWXIr8aF6xHiQ7RU3Mr9RiRCkf+6+grY87w2yLVI7fyM8lEq+NKHsOKgMO+
bOabsZKfc4CEYaYPX/P+tSso3mxCGOlkt1OMHDmVbOCkUPdjYUJol7kMOF+MiNThs3UYhSppXpeW
lV6PcSEZro0iCHUMMFUWc1XjItgUlf4p/sUwUjsr7uyvakx4k5U/loVDEMqx1HTkU01Fut6Sn/JY
fF1cW7uObRWgLPxuew3mKxgC6i7XaLJwO6aRfXd0S1IxnSc3ZvaARfIK1Cia+oTLLc5XkyBbgIhM
QSGxAR/Y60Uvz3Ae9lYCfDWMBRbHuUY70QLgGjO8Y+7ifM4m983u4/LGNWKynily9SnC1r5C4JqF
83kZW3lQBiw7GRbNITUt5jH9vrKi6S43SvfgkvVXDL/aTk3vs0V5zA0M021BD2XO4sbL8QfV9pBd
ydYExjot6R7LwMnI3epg08PZ0U2JA6fAgKGpwFbcFGZpMr6MsK0KC+gM4lilB9TkhOanbG14cB4/
cRSgSXcZGZoy/IzQVGrI4m372Oq8V0SGdi0KH0nJp6SnzMgh13LRTcjii4q1rbMQI1kfrKx7JVYR
WIf9PM3FnUL9e8fMj7IT+gwlb4LZKS2q0DRIWpS840LiZxsi1F3CB7uB2VuQO2p1wJnCCUXIPEVB
39W3uo0HSjJ2CqSGHN4wPzGkJqfEGq/7UsEWUzjBPCy4lPr8O/Sxsv9eR9LeDxRj5lb/Ftk1c3b8
pY6RPUlKI8SO9F/70cCoyGXghKCV2JION52pl6gtZwsycsiwTRAartaJR2bkIUsWDE5L2nB6K7HI
ZX3o0xUwjzigk70NaHLC3DIAVK6/jEMNpJbqhlfnXJrJuHoal6+i7wo/i/rEM/Rq2GmZsVI2i87H
cvlWo5OifEt+o1E/pyOmIHNqQz9U0kBxGE6E2EXnrPLJF/uWxHrQZO3o52gR0sTk/B4CTxnjah+L
CUzsqk8ela9GR/Paml+Z22vMfJxD3DLdzqeTQ5j5Ls6y3OtL8FSh3n6OmcAxrLB93gcZTKm8KK6/
a5Z+ti0ctjMXOQow8c1QUrJLLbgxRBe3TVz4MnWvStc6SyDAxOguu3TC01n67lLbewXbkm0XKM3t
htXeZ0TKFuH9GEK6GSA3pl0+wsPUcHBR+YfsGd/p0WFCIT5LGE9MnPrYvs7XYpBbi9ekr2+aWcn3
XVaRO5r/wBp4dqPr2VpDzWeEkJoK5oqR2y0gk47LtVT3cfidnOFHooM+1ZY8WkP9uaPeQGImRY7G
ZZJulLcyA86C2eToRpz4XMoyUNI5XNAI/cg6gV5qNYv0n2OoZztqiZqnhxlTE8U9WWuu8EtbFeVD
4bjHmFMB+D4ApOlaDVQHAbe4jj/VEq/uHJrkBOqsXrOBYEWGxQuDo9UFYGYke7ufrUTl0qmVh015
+S6nxLo275OiZKiyKly2Fy7izPXh9tymqv5Da7mqOJMxHPzOMV+391kbPmJ7I9k066XvP0rPuVFJ
0WAat716eSM5wy5uP/X68vC3n1o/NmZORIB3DEtTg03aQ4o61E3BpvjzN4uuFtj01kX842vndo3u
RQD8vsi/LdPlTb99S+SCiF3QwlZiIDJ8WwzVTBB+RGTYvP8LH5bvt6/88J4PK+7jqrl8z/ovRvgr
3ZZi1Awi1GS6jnm4OJltO9zRFT4OKeqA0Z5e3bw/MlbtD5OCV6d2ADMrErfqPFDZR8A50yrtFASf
Rr7HnTXe6w4D/LQYvxZxH8RZ8jpkJS5YyqBtbRKa2AXSIHkAtMPz2E0Wu3rv+GqXEVWENsXXpuEL
3gr3xi5yr1HH8NR2ccmlDfROUjTFrsxqcKv6cK8ugHllqBQnGcZXrVOX1xW9d8uury2nKLB0nSbL
yfxSZwrGBAS8dxzCwhLqrzZ2o8dU/S5HuFciI0W8lBCOQ9eYAueEVZYBybS8EuD3kE0xEWPDXlOB
plsgDRGqq57ucDZN8+kmN9PxlGvVvJOjek6l/iDntQ9BQP3ema474Ig1YR3HaljsfTPnTKWcrsfN
B+LasJ5C9pUbdZ7IVUkrvzWGGDX3fS/6xuO/9kodKtVY2zTI9WOEJuYxItoLfGtU4Z1rFNum28VK
a0OF7mY/M1LN77EJY9RZ7WT2D+LJBBAJbD8tLk9rPFnsOrDJ33LGbEJnbXSYWQk3bXwQYhEtN1je
0CP2tiBGayp7eUNhgnEPWVVVodwWU+PeKQ54p/GGusarqg2HCn9klDkQJFvmQfHqWbUBKuuhcx27
RZAgNMd1NH+rNffepJt0kKlGJbdQgmHseo+h4hoNnxLY22UPtR5iDI5cm/TW+d7IOaEaRPLGogoG
S96OpYmpPhzpY+lfxKAQIjkwEGmAp7G0lNP1tL2WzKjvnGqEQHZrq2Fybcy6udPY6+EVOM0hLCDt
R23mTctMZLftgkqn+prUE/jaWf2coQfF8aEkx6WoIM43dHIs0OtZPu80ag+hNjqHkgwJconlycHk
rcd0Mme39OwScHrRcw1ExDbsHBXV1jZetBSLTIgZflouqpAI+IiQHi15y6ayDIhbeAvnND5M86gd
gas5GAUBpQ8sMTqTxRPIdXdzD/CvpmlR0E0o6SvfKim5aIn9s80RuCghUASR9No+Nc3+2JM+kI9+
WZPrHSoAAvSmQe41nUuXHctpovSTPb0Zaque+FC86ybSQYq+8ufKehmGZjxLGzz7J7ksUAEXhwK+
3t7MWE+HRIKOg0hpiOUV3opJ+vR4l5fhE5DvN7pIhrSXfWzPp8xUrsJ4DW8rcnLGbEfZxwZavTpy
aOiGeADLxa19LnZfJ5LwDo6eOIyZrZCqUXOnp0RLUDna0WmGn69VfizpCKgm0rZEumt2mDwLo9L8
dPnuqJTOYJTpBSIGKbIyQIv2RbQrkG717dKme2rb7GFtD8z9SKycbSWBnrRPWRtdm+Z3Es5CqqbK
vVzQtcQFeQUg2sALzCSjqSreqiQaQCu2IM9FgWNSrTVSMVA79zYnDSPCE2YCYbETNCMCJIOv191X
DTNmZ2vTodeXNzUlLriYP4l6PCS/+jDS8ChbV0PvtqjjtV/sgON+nHLGEKnxrNljEDLOPxBkV/g9
EsWAOEmQ6st8DHXBDogUhTSgPdw+MKQqKppmRtlaipxEtu+MMaYuSs5VblwtVg74tnPhzTN/iYR8
dEs07ZwwiDwn+DtLnl0Vt7NAx0cSZApTXrshxfgwLOJKGC5VVGM4mXPypADp29NTjDy7CRX6OUZx
kG9mMvpW5TAINSm0lKkAt1noADOL4SmlbKE36a9CcR4wgbKjhcaELd/wk8e2aJogBw3FQDt/KLLi
ZjYFbqroqNvaW6frwm+77rqImi/uXJDKHKEG6MfiqV7U8JAWqeMpIzVwN+wsf1pQ8NtKDtMDu2Gh
Izs2KCZonU+4SoPkq63uUaxFN4p6m6iYvOuW7oQ+vobIJlD+Yomc+5nW9RI9p5nxUzRzGLRr6WlZ
rKu0ZEjR5sJ+1Ls4ABKnTmPjg4/Rr1uOgFgqhBFyfhjtr4osmbBIUd0MXQc71ny2tR7N5cusqg1M
iXDg5Defola5V5ukOTiaerVkIaW5xW72oU3vLA5lf1BK5zmOpuTcqMU3i4EenHgRiB5/QRtSLhsn
6wmLJB5WHf83R2iG+4SNAy98BQ/E7sh8tqBPWqXTUU1Je8+7nAl9+BobuIEzvRuOfV6RWGC+9BRw
A5JfaH3YB4qiXwetS86ZK35aE+/tgZEsFZPEJCRIok7BaY/UhZ2EPTN2zZngDGKREOTVx0IEVsl8
w0lmrOc9rpfBvurChjSRMK48hvkNDJJdlmTz9RguIH5xLoMW7B6FRU2jMfKntg8USwGyztmTqWrS
U2KXpzwV2lnG6xSvbcVVV3VPtcu83unhc/S1Ofi6NaiHxGDEz6XqSm3daZcmM/NBmUDeLm1PUYf8
aHbRr9BeTghV7ANDEU7LI53tpSVAPeoMSAqrJ3StUI1GWARuxYVTjefzlBbHKhpOdQm8BeQBJ04r
7y2vzBDiwbZEbYy1pRQAGUUy3QtjfirLgaKwTjRJpVLN4/Q9kh2hNAMpiJF+pbRItoepOkrL7Xyz
wI+aDbE3rAcp+fK5zy/OYQpQ1o0S6m3FznAiABZxwYpNy31PZJ3vzAIerBaZfmFSAaFYIWnD7Era
dNdN9LNMcsNbpO34qagTn5rQY9qXGBw1oPP29GlZQT7UxfOGXBJkFvhvaNB+ibLoS290FkUCkixL
rTkrE230sj6FsHAIC80PZuguAFs461iKfeYgejOryKEvkulXc0lgZaOLW2UsYj+MSGmeBvE10sAd
XxHrahyZ7VCoa+uXop0mfND1beKa6W2zEoHSaMA4444BjIryZDWgzdNjVw/plcfEzfKcQrXPrtis
+S4k1flxCg+o5xS/lfJgpXJgOhNzkXgRzBF2BckESMULjNmAImgJde7gSb2vSao3njFsPc5V+9zE
tLPJB/3S15MIlOWuN0IoAqK7UWOGJEbR3SDhO6uRfg8ViTUw2ruxi+8sDv89Dffb1Bwg2JtN6Dlr
vbNtv4Q9lN1qtj1jMrQ9ZxLVa5iPsY9o2L5BcJktojVbK4nfiK6rqXuiT5DuHcUtPOr+j4t238li
lWyieGo6978oO7PlxpUsy/5KW74jG4BjNKvqB3GeNI/xAgspFJhHd8f09b3Am1m38lZZW7VZJm+I
oiiKBBzHz9l7bTjoE5iajJejG38/G90ZfSBM+LGn5ArJ03C99jYym+SCSeRRWz29z5p+JJN3y7gb
VfgEVUYBSs7IkZGLWapKvRjMA92UP+7U0InbDnGQ7dcMlooRNpVhNFxiG/ES28yodGwQfCOJeS2H
YeJqRDysdhaTXchmnqAMfwNvzDxeb7DPjcjvKJ0y4AvXGy+a63UCJxANlwmraLmRoHr92RR7WZFF
XGv9jtIPsnDl28ehAJehVGPhDpXpafBeVJowJzCK+QN17iYX2t9beTgem7FDgSbqc2SYHXG13BiL
J+H6Ly5XHlsHJ4CRyn3kd7gj9hhYat1RLcL7dPlXRLIdzMkhVrsaSJmzuBxi2lLH4foX/vm10KW/
nhamKUAEgXNNZwD2GyXo/OC78BbucHUNACegFNeICuI3Oy+iDS2hKWuiw/V3ViJBz//nr8eejQoo
CvcZgZEYeSXElrCau62ejSegbRBPPhg0E42yfP/6oHFE8TbaZFfOImKBVpIQIuQbJfEgLtFd7D9i
32yIaO0Yo1cJhHqHbkTXT2SpAju+EeQ8VYTCAoXgYKwgZRAPQVnBEYDc3lxuiHgluOb2ClMur4mJ
c0jnpYnSQxj504520P6Pby77dz5IBoVw3ANBoE62JHtBDMORokr+EobdD38GfQGRCNYjbStwr4B5
r4jeMsvWqH1vM69Eg9ooGLWSviXumu44Lje5IZHMMC5XxDfN61JN9jGdqLYHI7A/cndWhyDN92i5
3aOfw92AMrwRFcevUuVWT7nCQMMN/ey1pX1K5aH1V1MRBXQ0iFm7fvP6r2L5sgsaJikqTFBjM/RM
jImL+NJbI+/rVRYNoxwAatbSwbETclX0S+0JjJGz+uAaRwhB+VUBfAHwcpP0hUvhiUeyyn3IW+bv
uObuuR8eiuCUR+arU2Dmoq9Bl9d8ndnXQqyx7+1RvFm29er2qVwpmAKw2h6jtN9O2PRpnesDNfF3
HVM3/4hd/d6WjEOxneCeqKo7iEQPKDBfZQ/QIzJeRo8KxO9/mn3I77ZatTbaT99xfiK+fBg7j81m
Q0ABmqVDGVQngyY/MQm0zG1blCehELBTmhHUIhn1lZSMrEr1sfanc57MbOqWu/68kfSjGDro5FBh
eb/eX/htu8Pqcbx+7y8PTYvl4Ls+5fXbplb+phudt788rg+XoM/rndfHzdINtmbrXOq8ZCpUlXi2
J1GsGDX8bl0QfQVqlzZM3yOGeOuOblPZTMaLTwVw45chUU8dOCbjVGZRcOq0gey0MC9jROoHc8EH
QwZ3UefdILIgM6sV6maI+UDKIb1J++jREcskzDVA3oXsYZdQCMG3ZMBoo09Bzo2q8Z+W+GLzt+5r
ddeQHVWNw8atu4vF4nH2/KMzpMU6yJP1FPbZoyjrjIqe4gbaUHb0RhK3ZDneugmnVbf07sBZMcdo
1GeLzHNXI/ls7XJPI8HGTN0+s+33qemwNLsOy50ytzYa5XWZVvPG09aTlbUk/uiYopswFD+gxpi4
XO+Edyu6cD8mrbwf5wJ0q4l5KLIPnZv4azcIO9JPxn3CloVSEcV1gsh8RyeSvb6yfvv+yDnqTMSC
MknKRPbejDUtGuADPtf8aXgzQacd/Tr/aaWF2hIE/CWL4OJ78kG1xb2n4l+OW5knMzHWcXyGQdS/
DBCQTFgUB4xbq8Gk+J3kTrlBf2A7+1J2sHrmmkGdVU6/wIC8traIt7iFJ9LS/VvOjpc0TNAbWDFM
HRFsA5V8ZnJ4Z7XnT6wPjgDjwlz22SHawXcROTHvn4uR8Mac80wNzbav24GZy6x3SL6+jV/ss4Zz
FnjPlkdMDSJUf4134hnHiQJgPQHjBsxEDKH/u6mHaCfnCxHzyNY6cWSOWYYGuuAuwiU/PzlsVkrX
tnZW+SY858uvoNaAwMlWzNUIykMLrZjGjj6vR0TpoqVq0pVmiKT7qNmlXXlPq5cql825SPCF2Xst
9bmCs751Ddh7kKpXjpneG8L64Yvkfoj7+wwxgFuwoRycZEkNijtEYy2t63ztGtCacFbO/O7cO0Fz
v5sFw6scJYntEg/o24D9LYbAVZf8MgR8HtEapwpb5xzoy1iOH05OuZqI4T6v/YfOo1eh3Edz6N+S
oofwlVyAWO4zevZu1pAOM5U/Ah/92dwT6WVwWjhDfa6r6iefPu5/J37wiuSLWmvGLZsc7Ck/s9Cb
zJV+ebI+a2/4Hi3nWzOSZ4H+ORYI2qQ7MDvR93NVgnFUUq2wB5z9cvosZfC7QWjeICQI8Ztydlr3
Qv5CA/PZW94P+1lpmdHeYaGc2/prMj3e/eR7DHKaZ5ELqGTMbpNSfBD3TCvAZmYh+9cptEf2RBli
gSDmFFV0KED6IXD/4LhMN5np02Svxe0Um68q8JJ1hk6YPry5bZfnQS/SUdTHGZOh/CSCDjgVrgfJ
NJHWCST8SAKeioZFBghOH9t7CAaR2S1+gcKez8IXDOl54bk0m7XpDM9Zq5odQDhG/e0p0epDFWbF
6P8tDfJ8o7mslla5kJii8NSR1pgTDKYM9y4ZRbuzKps2aEuPAg25VQ3hegBTKXqPLljBR6bzXd+1
ZGsx2GBzfZfENhmed81iG3Lal44mrxe7ZzXRu/KXNct2yaWKkoOZgK9nJkVrzfkaTGQ4dkYUZmBB
OYo1ta+pnwOZPQ6SRAU6r2PD+ETXC4OO1i9OHlYrDsDMooDlD9sbXbDnLF10wodskA9aGD+jMHjk
HQY2SNDb1N+DOVpNZbMxJm+tk+hoaHWn8+hYx+6+ho9YQpyty+GVBpPwzd+InysdMiHw88e6np56
Nb81C1U0tIpjn5bnrmAAYvDx9DA6PYsGlpV+IQzJC/Egciwqvgo/cRPIVdrrZJUMYitTUqsMt181
JOvuKlGjcpVISX7GaOluwj76MQ9mv7F4HbARSPm7dyMiUswZQQ3zSi0+aU2cZheLkhM1X0qNbw59
nQx4MLuM70YjQ+u8iNmVD3BCydck9V6YWtBE03SQ02L4VjX2594KHsw03ukWz240rthl3Zqlccms
+StIw9cxZhTKpBBB3CZS7kzRUL0aHVfbOmy+4oTAOWo/Ljxdu+2DyNpKGvuriZAfx5HvDJPIK8qC
Zo9VAZtX36Nrs02qh3E62Hb/C54h2F4938NtUCDBShPuPSzPsfoNW5B4vrZ/iLuIkxI1wZS1ADOT
51l+GSm2I52TW2ordbJ6KENM7ukflU9lZ2EcaxG1YYLWWBkogcv+5xT7KQj/7i2uYLh60gzvYrqp
N8ySPy2GAnvcT+kmLeuSpFVa5waDCIQJ5drA6baeDd7PLLIAm1m0QGdbnOuZPqvpT+26T8zbcJHR
m010jAP3Nhg956mdnkSfo9SrkVdYqPHcSGXMKbwNfyW6n6W9pH3vK6KoObWzvMZ/GBsdDbtZxzi5
2Yht/DwFUiZi6yZqkK/XHvtLUNUW42f5O7eGPUTV9j7NSe5LbLuBC8Xj5w5pVaVLdUwVXKYxaMCV
WuFzFBTNk8pyWiiO7HeUm+km1JoGtMrTU+VODy3zvHPoKP/spa29xVsCKLF16zOcWwB+ln0J7eIz
7v35HOGjOIzMxIbQb896uQnqVG1Gi48X7x7JdovvZBoJ0RppkZuEO59SwQYxz5fOEmrJY1focLvY
MKeitPb0z+68DPXc9SbQBAfasBtaN9zlrj8dUynQBNHWj73BpbTmImo5ukSOIOmPcSm5vd5YE8o9
I0Rp7sz3AYN7jzTuxZWI6PPGUuE5KiK0It6IszAjTK5H9Wu3tXMeuRiumkh3pA6OwKC0NJ+oVfsn
/9Ak5vwUAPzBwOHaJ0/XEMoU06++HLpnZY3lFlcEVWKW2TtM3IivgUADnHyJde3fX7/w4AFvrWWG
D6UZaLA7OJwGSAocG0V3LiVAQAz3RAlSzTQmWMVQ8fZ4duWck776lo4iT9LuvHMx46yyunTvMaEj
UUzOuLsR//iRuA19wpvQneKtzrFFFHSCV44/OJt5sNXOttnuKSiSN0PfOZSWBsP1UvFsJNk5M4QD
OZn0XFR4Owa7QTTTE8+ytjO1JwaGSXfWWmunt2pkeP248gaP59xFaWqd44lLnLRzxIw2+UR5Pho4
8zRbhmQ+zBOp0aADDkaIxSihnCgyKztp0ujqzttnYfuoZoiOeWptk8VniYmOIcZsXMbO1esgoXb3
NMo75DFqzWnmsKRGewNSNgdpOyEY3aiWK1Mq+WEB9tHjLds1Ho14o6GvKKUK1kOP+gLxACZKB+Ak
gkopJLWif4wL5x4k6sGi8UcFZUjcS6+k+rDKLYZe3TjpyoQBPMzs/Aah8edxAd04IOYsOHYH7AeX
eGz9S5KNxW5W3V0zE9kqSfgd/e4j741foTMQCcJ5quNF3lIXbAhK3gj0Omxdo/xUVJiPKQJJ/B5Z
YWb96UzT7dxXT3W1sInDkeQ5GQdwHtgI1lw2K0wtqW9s3C5ON0E5kRPWO7/zaOj2im4eEqfx1s+i
0/L/2eXqm/nDKmrD9i1BJMZYM+mG4hRE9nMzpdMdwdPsPln/BbzYcUo+jKJ+rKVxA2o1QsiSo/Ca
gKaklCkOs7N1mrJUO7VjrxFAQd0h3dxRGkp1EH8WGSlyoZhoDUz1fMnSr6JywwNjNxqoHjmdczc1
O6dChplCdVoZnnvJq5YdcYclOw5pgpEeS+MVDKLIyP2MmPG4kcmMzHvDJUO2YDy8txHlR6L1vorZ
sM1Ddg4zWW760jlNo14s0yFwcUomz1L1HggLDLlRJXsxsrPOShM7ZBlvbcCUR+ERvNKbhXoUlr3P
nF9RHpJXX6K4HhmtnqIsuddubxwiZtIqJuOZQT8+pcQ6yQzWbR3ECLAKMNMlPcLlGDc3WtAansO8
PU0KAm7FBWMayVzSTXcwMV9lrsOwp58fCqu4T9qS0PkQVhLzjvRcuY1xk4/+HdfDF3NsPjiFTKKf
0XoGcxcefPi3iDuNO9uuX22mUDtPq88qy4ajdtNHVMWL22Q8T5lz8XQasAumvpDV8Nrl3c0MpzSa
mHmMHs1ZLyYutIbd52VMSOb5R9t3mraie5Ym9gGnYUdla85vpsgRVkrSO/wxpZfX3LtE54ytxvzj
N7jPK+egZ6Q0MZz73sE/7p6Cxli5iJaZSrhvBYoI4YJ1pC+LobtyPq3ZMrZVHtBDZyKxScdmHYXq
82qNv75jZaX6TZ7ekbwqI/hocHEbdw/MdrhpAv8keWuJda/lunYoEQurgVpJZYXCHPcnChH6wDQp
Aic7y9B96DVM66sH+Gr2MwflnjwO8FXkgpjyXXfeuyj6bxvn8fqojggtOgV4WsEUIPauqEH6RKKA
StqQDz1K2UwjRLCDnT944Q4bBlVBFtzCM4EOR4Jf6xAE7ZvMTVoP4UgeWKsQcdylDiUILVazRLXb
qzXTjI3PeCqf2eszM5uTPbOXU27lFJu4aer8Mxlic295NIMlWby5m35WDiJWJC2wixevvdWTkTww
wK1KJEwRZwDUevads6p2yYbVIVmVC0oAAzgmTWR6huPiWfhBShk2b2Sjm3qCcRcx4AwqzHOx/1HQ
jFuxw3zOHJ6yEE2/itvoUAjecXRRxxKj1Y3EAas9NLNp8ey0I786x2pMz2TvNP29FlRcheTHk6gR
pDk3GxlGwFuXR/o5G9rrkpq7ZL/HTvSR9dFzrCZWOmZIyNfY7Wpw10No/BZ9H67KtipX/cyEJsdA
3WENQWcFpNKgd2X/Yj1dLGz5vdXQi7OHikDagN+RtyQWJEghBrtep1l/Tl3x07dYjyCK3dYJFbUJ
wDS2WecT5sfIGTkX3DtjcPiQbBem9CqaeFWBNJ7HAk95k00fSrMX85olFz3lw3bgPyYT9FBaa4lJ
MvzyzjCMBNEaYASWo5FCmRwXps/OR1woyiJYayv5vF5P5tY/FHF1mLL73na/koatQxPyI9f2XQdn
ZXnoSC05Vv17MvPZWbVBlnFdYYdGhJLy8d3a2Z1jiWrnNeCjMyDx+w4DgdRq3JYJm9zAppwPisF4
8RI1HgdSoFvTvJ2lJy9dq9WlZuZeMjM9+Hk1HpYa2CuG9r4AYspq7nzoeHDue8pIc7Q7DH9kTQqb
cFq1THjmNbM20qGHMdtX2vuQS5rb9cbo9Y8kMWIwPyDRizo9G7E2oxWduX5tsQk5VbP/lgwG8ll3
si/TaKb7aMYJzjr6yLCdzHbbfGxc5W1ZS9yT0NEJMQr10CjXDVv8hYL+g4gHe9VK6yEh1oCAOmMz
eFwkl4PKXIgOiXbeDZ9hYqaW94/22tGdcKY50XF2aILyV57H8MCwJ9wte35gcmB1e7aTKtjD3Q53
NPm9G7QIDO5ac10MZneYIGTTb0J2a+lerCwbOoLm06MwIMOSMmFYdmp2Z8cbyQBG1Yz+OBHjQ22m
70B/KH183AzUjw9u3tz6Y4ylDDg27h5Z+qhNu5RjaTBuayoZJA4UTYWXPxE1UiHD+cZhBylXIMC2
2K3f+GiHeG3NtKo7kqcH71U1Qcc2iHIpRt1Tyfa1ozJetSNr0HUhor1SA1cQ4U0juRxHheFysn/O
1bIb1T57/zS9Uy1nv89cgtk9xS2s/zFlcwuQqPSZ+tNZ6zd+eVeaIEsGskX2JpQIKkX0IraDoiOd
qPdCVmMt+zfLwHANc576N6T/zfbQUsSrFB2QTI3atueien2fPO/dGNCmORaeeRvH0PUFNzO5JzHV
ljnELzOF4JrSlWs9DBQLeFfKEH2bcAggTLG+pykZ15yTa6N2cGNpxBLBEFG0jjQycdXRUeBcTYG0
38RVRs+ABcu2WGpy5D5K9Zqqh6FDQgR24B9qmEzrtEmOnZ98LuZ/JYvPsuJoQkiL2NsirXNabOdB
/xRb6nXisMKjBEnlH4eg2TH0zvB8x45+ttZ9zoqVT6yPJKxV7W0eTlwfg0NqJe+46EF0w/9dQYWg
LOFBtfJ3U+my9Y06wl9z89vEwE63LFibHUt+dFvOE2uyN1xoXU8rHxzMKkX56caITNAHyJul7b0K
sLpY5SP7+FsjxiDoWwjmlvWql9seUQSafdZnObHhy3m401HyYRChVWlnn6GcLteWOjYScUPYAVYK
h5QdL5vWhuOd/aVPydI+b6NmoVwQidD45AuzyNwY5aeyyLFNIv6axiR7snKY9c/7MpLJ2qV9fmMs
n+Mfa6IejoaVD9twyD4hmhEgIDDLFNY6tXtxKjIEFO4QroqRsz2Y7tiTJLctUyhy7/X01vcJKayo
CraFH09vJZ5Dc1iiNoX+Tmno7NvRNe+D2vwex6c4rO0fNCpQPFfzfE4db0lMmbtVjFl9DTr9qzaJ
+qzb+gA9X1/E2B/Kns1faDn2pafGKYsZnTVJLrvQCzlPIggpFfJNtP0czg3IgxvYwTzhQLZyJ1vm
u9WnW1kAPArOx+UI6Sz9pcLpxbarC0yB26EGBxJ1fYYkMjqYnXOg980mR5NgQEN5PSxHj2u2LFJU
ieayEoxhzmWWRUUUhuCU4oxz4uDHrCewmPicPSd/W9ZDzhNUB/6mSdLPxI+ea7jg1ey8qyn5VRTe
PhlghONlA+UZQIeeaOHnnv/UUl6LgQ6hSJfOfkG56ywnUTvyi2RNY292Fytk2dzFDbxNFD9EM1F2
4LsFxDnRfDNZkcOiS9eFv79esCP2tqZ9wjQHkzp2STdg4KGzU3+yu+CzMYND7oS4A5fo1BR7lgJ7
BpQdeg6gHu0+jwFzcqdc4WeuwnK6qVqW6Akzy1xx8Q16Dm2HQQoXv+zTw0wNvj7cL+eunUnYmLyc
0QieR8Vy15kZCGVD3ZKpw1K1lBOjiLZOi1s5qO+ihpPBBHPfSVrdbuzc1ujwyJPhcV2PSzvzprs2
MJ50T6BIP2J/o4po5vDWXrzB08yFQPjYN1XIIpfgtRr92zbn8L+CqK6nS5yFNxgkLgbaaXqLfL4x
JgRNAu7KbViWIsTxGDZeveVuzgdY5p2AUM1VpcZfuy4Bf9RWuJomhxCVgnfB8TsWMDP6nToz9F/u
NyekVpSuwbrokQohGeqilk/SYWI6XZwh0gQ68LuWx0oWOPBIN3UMT/663Wl8E8Cy4EzS6QVH1NKl
56KTVKQVB0KhoaIdUhlMSzwW20ZzUAR4mgpSBW6olpaNV/Fpl4K4sQD72MLJytJqX/h0FKN4Edh5
C308zKbNVJ7cAD5VsuztS2O+5LX75TbsVKKS63NCC9pPSMIqDNPbUPm89iGkxo7NHUc/YQBYBq7W
3IDYew6gpVM4VpsoJ5RashUvC0oE8uDWPvAjhjsYMoxBPLW2Sxg6hyxX8W5pV4CvNdgKLJdNDo4a
T/q8w6JhbOYW91mOa6Nqf9R8cpssD18kxhorNR5SCUApLck5DxzNlhHyVtQ5C/Q95Q+V8skZ9Kta
dllkA51ULyYcFFymA7KWs2QgzgaXfwHmEJApKEjH22kimW68nLK2xcWBAanbx0j80VjOSErmkJbx
cjwOVz5S3Tu82t/XtRsvHY0GCwX7WO97VU3UjXxkoxBPQdtkt/7kfBflJxiz8Z0xqDn5Z1x0CPEL
NL04mQ8iT6dja3U57mcA3a6fNStkDfldRu9hVWQNTRgwxRiPQmbgdfDEOGdVDbCveYotRmHkQbjv
LM6gg5MVmyEcX3JCvdZhlyPCmSQjflOlK5qHwxpJz8YcrOhizKxYtj89BwJNFCc/bg0CYoM2nPe9
lPcWr/FECszPZHK7g0Om17ab7iQdrxndUpBFr2FldYcGWw46HG/Xx7gG5waeBswIK01zrKZht1VC
c42NKYAwN9SrIKnm7diqe7BHmFqmvHi0BMobMmFpmsMdOTi2zi6SHfxK0MSrDLO6H9ktPs4IODV6
kj+QPv/7XxgFf2QFftXY0tI4UX/58v881yX/+7flZ/7jMde0wT+/uqRf7HXr3+r/+ajdd337s/yW
f33Qvzwzv/0fr279U/38ly82V67gg/7upsdvyc7/n5mHyyP/p9/8X/8zOqEH+es/mf+X3/CPn1z+
hH//24mn0V/59Ld/3Lswqaw/fuifcELr70xhLdsFCfQHf/AfaMIg/Lvr2wCDXOF6juMKAGT/RBOG
f+eavWB7TOF5tmWCTSE0UCX//jfh/Z0URkphSIKWtyAN/38iH8Vf2SAMBCEnsuMWIvQs2/4LOkF4
IukQzMTHYdxkf2CJWwRO2qNBVDfRJQrjo+vPcD1957nEZXozUwXtzfEhNYpjZgwj3K1ll9Fl0dYk
DWkZaYxYykMu9HirbpyrrbLBlVhQgyR59pQzf90MJEGsISOtiwjy9gCd+TC0w3dnb1NLz7Ag/wMY
+d8ANmzH/K9/J++Uawam7dmOZf6VxzBKd3JzG1Bc1M3WqnbVdmRusYdbhtRqkWFBNiU7KqSkuTJj
ryxTZhQOOxlJjczYpbLMV6JfjrNrNjsc2jTX8izFaBFyFYiIsxH6qEPrxVO+XFm6fuKs/HSS0rm/
3hQl2Ugs/uYmCrmew6FB5HJIjZLakBGJqognLL0emT9+/+FE+5N+JZDxFBTLZkLJQGfEHk6hzGNe
u/MzF0277vIp3CAvew6MxDp6yw3otvaIa0CZlXm83kjkRUccbf5hNh7+vDv0ubjMZVxtMiXWMrTn
vUjt+Xi9SVJFw8EKxepKYb3e9ClAY0HA+JjWGMzBCeEJ8EoC1yPxUe8b3/7uwe5DJY8XGy+CJbIv
39ljclFKbIQbmvesCimSYs80j40Rx7vKC2/TOq9oKmhEUkK3hHwAkPuynBJsXf1Q5GN+nIcEA3yJ
s6wAUNHUZXR0PNFsUHQhHFy+nJUZ/qeb630GYZdwEvx9gxhsh2fgflweJTn8ZDzovT0i60ApTWVR
AMjO8QNvfABh1Of5FB9yfI2RDp1jW/Tu8fqvaZ6to3zLjZbSwtLMIBirkdiODJoEQqIuUeFNiESO
ZOH1R8npsB4MxgxBmnorR1CdR6r9aeeaDt5Cv/2DgyusB1Nx14ymeiFinUM8OTd20pPKs9w0HgIG
EdfpqTfc9ERjYdzmjX693nW9iWO02cCHSEpwxcOMXIVZkdbG8XrTBL+tusQATn8XSs6PhkYxQ4Oz
B5mdLMeR7eQ8u0fEPFiCaBXQwUR12c0MzEK9oXjFcNjhDFQ1hlz7R+B9mFpi8llyJK6AZMMEn9zA
N2VjY7zWBobSZkmxUWDdSszdpHyBsUREcuz603C1fMFDIwaObqQrw9fQI60kqjLzKPHBI87zDjJT
yQnSg8foIX2OcTOhaWKgOt7r0kqPXPcvpCeluzaM1wmy0j3MfwYtebz3ITXeGMhFyxugSIst0wjX
+agmBtHFuTBxDWA9E/ijpwH/zg/taGs7RwGlj9vnJMii6xOLBHBcgmyt1qbKIb7NWAJvm5D4msTw
RjwGb/z80jDTNqaGkTLN1eMmaYtxryZ3R9KCc8yoLNdljyXUrNvpaLfErWYOBjCCTDx5yts6XduN
eu1S9dObC+M4YnCbA+sQwTPGzNGf9JAUOwCMT3Ez9SdXrOlrN1ucBi9tSc3cNMi7pHKgn8I+Iu1q
48KcRNHQfIgB6yrukKPfunIXxUmHXhA7MHJqxjsWsYrCYsUjfOS1Uh6t+LyYD338VU/Iv9rlpggf
WTgW68xMpkWBi+y6UHLBbPdO2SOUd9vdPJYP0tf+ujRp7DtouDZl9Uy7rGVz5/qIhdjF5EHToX4A
B0AfytiKprgzpJiONc3AQxi/JM0ojmNenTyV/w5jiF8TZPGcMWJOLFFWo96f42zL7uksrSGBshm+
J76DycaytoT6vgryQQ8JcSzzFLWIngEMXke8QWpQvWXeTyWZaGp2gcekNexV1ubPA2OHoBUviKeO
8xQYO6Xb21q3eMKD6Hvyn5y4+hEpFt8mXixUAMKL6liwb97h6ftRYVzftMWSQxY6BMFhtCcYWHII
d3SMvJlXafc42RzF8cCcuJdFhNwDeTEzFtv25DaWcN0xsexZJx598SotvCxsxCVCfxyyHBCPfR7w
WN89zTZST17MpqnMZKMYh0ANqA5hp/dZktN5iiDVz0xCbq2EqVhpWeuswg1O43rkwxnc3N2ncO6h
CuhlY4KmJJztVTfZ+9bv1MFhMHGqxGMxOnijPfNSJuLD2YVZRuhH2nx7U3LLLNJaxzIDnDK2h9Cq
3ItHEiUUSqZRinZyzkb3puEnxKR8RhBYAgSyunWUzzPdx44Joik3wraabTD6GI9zu92ZU/g5ZvU2
NfLoYY6Z/JhsFNeh2yPfiU/CzA+tnYfbzCug76DuRANd7aVd7TtoU6qZUCjjx7HC6K6Iinxdp+2b
bSWoHkPUS2IKbzrAFsekB0jRsYcWMZscg+zfTQlPg5EBxTRcnn0GdRiRGP4R8PWAhbRFpOTMBJju
Tt7mHS5iWGVQgUUjx80MCLlwUSRGCmw5DHgaDmE7rELtbPsZ+1q9CDppiNMBMIwHTy7fxyZXl7iY
ECAFRrE2vC+kbvy3QVYhbWftejyeNiQ+7j6d6PbS8MOUtylcW678kHXLD4rV0FYfqUllNjzC6SXF
qoY7kQQ4vT27ffKa4uIQ6aaKgg1b4AD9FMZ2Wcq2QtV3I2yLFyI6GZW/eWHIPNUjgDC1XW/Td939
XCMoqUHYzr2JMDi+MDtYD76F72PUD6aJ18LQxFzr/oer3Ne0QHsbOwiI8QknDKNzY02XuwD8MO9q
VHwy1QNeSj7+Js3EJlWeZhBJUYhxHkGpzM8tFdtbUd+5yWOk1HA3xMEHSdfdWs741qZF6IcpNPTf
i7BRK6cyOrRiwoHdEcwIRf33zA7x7AChwijnWfcTxqj7Mhl2Th29J+AKdk0zPLcDSm7BeLrAt15P
qTzngQmLh4qMmkavMRomqwJ6CIPEyjtkTQli6LeRK+ek0T+SFrbD3W0dYi02VYVhfU6d+mctBUJF
tfTGvAyVak3f1s2jdhcXMqdXQAmso+YIGkad/bDlEvLs2NBrGNicrbElEIg3Js2W9oc8BIvdcgwJ
byA0Bn8WPZBgeg0QBAUjxgomPesO0eE+cxFheY1/8pv6aIXFL9zGq1LO1bvj9uh0cvpyTk0Sp8WI
3pBEXqdBfQxyAc3DT7yf0BJbSBRzjNbMOVa2pOWUt9iW6uncAKjYUf4RLolRABPPkmXQlRfUT63C
CdGVn9DXklVA7Z5JvHbmUy36h9xNEGqDWXXQ/hcFsgNpZ3DIQjpijfUCtIM6L872AGiInKoUp8L0
OffEVuJJ3FUuKpA2YvfrPPgzgX6Vb+3LyrRW2GiInxqRSkXVvp4FrfMxY8MQRHSVUbmQRfA9Nhur
jb0HsFqo6Sr7YgTDJfByKBgKnI1Kwq0d6R9jEVBL5e8T8AbDz356Sg6IhcWhN9RW8ZLXucd8KS7Z
0ddRxeAuBuUUaPI0G1PvIEtWGgVcndr0X7oE6WWh87Xd1W9q+kUUJG3DCu5OG3a7voJRmemWFupI
4q3/XjXRU82MHEVN/6lwKG39mbZJOL7iKtn5oxPsBS3bNDFWVYZAL685sruDgpW8gq3TMAso10KO
0HHzdkYj6wb4JYiuS5XaMqpivGOR3ztKddtD2Yv5lLdVUJDxNDNQbENEXcCWXFeexFy8ti0DHuHg
hLIJmbHi+f+yd2bLjSNblv0ilAGOwYFXzqQoUbMi9AJTaMDgGBzz8PW9wKzqzLq3rNv6vR+u7KZC
oSBBwP34OXuvzUQdW3KByXQsRHFjORhmA/+77D6GRryw3ywtFW/jud2PFv2xmkfu1wQhQDPP9ZGa
80d2GQbnvKAtmw9Eewa3QRndGOphpsx+xEhDWVijCUtmAi6Tx3QRiXpmBIOUsOTit+7anJ4OZVAv
kBFTmAIBeCStnSrOfMlDBfnRLxiJZRGfRvpW4QligoWsIvLnIzkl4EuwLMZtjjvFpCtaVWR4Rny2
xK6z7xNaqO6w0FSRSoG+2X8GSz3Wnm3ucwbKe+0mt+HkT8ifvXvROgiol2B2xhFIVKifzBn1fBUd
x7SoDrMXdIu1k4NTpcBXadzMykV/GVp0R+WAPyhG0KVo4k9ZxbzDBxprg6PfYNlFbBEwE146QKNJ
IRn56UuVlQ+2OwzH2rofFPV4zXt2a1uiTpF3Qe1AGC/dmyVSfa6YrmAcOUVu350IlF2FHuxAydyM
UdR2HG0CPubUoqHe/JJldBlT7n1QPXgwqm0d86bH3NmZsLM2rTlntMCDd8fW4raJcMEOMG7KYAYT
dSnG6lXkqJd612BaHLms5CQWsWN+dwZarEBtNAGH+44E3EK3SApMB3xsYDzGoQmYFUISGrg63xHk
iAmwdp5VtVxS1kKP8V4T6mkVjC0W9SZYKYUs1Ci8S2kQkzkymd10TX0HIa9GBQcgWSTiI0LwtbUt
QW4Xq5evrJvKcF8yD2IB8aZhNBDmBQPFy1glnExkW6U+UwscW5+4v10HbJCJdZvCimwVi9QclFHM
3ZlLzQXGU/wZCHkrbYJIdrwS7wbahMjp6Tyv5ojKMbIYvCftXVbYlIKTXhvjTzclvwlSRNiNHQbp
9qI8PnXx8KnbTB+N6RDYTgJjyA2hvEXrbZsm5U04LEWJBblLDdln18Rn2pWf5WKu6TgillmJzLI7
dsOQEnNZMf1k+RMWaJgOfVj5M2D6fjYMag5TMINqjnbUUnHnXr1HBvzpIgjfIuG7NzyT0YvpbkEm
IXlz7Wpnzd7eG+dlAj+iXxQQcxbPa92RDVyHfowqITnaIkkXztkIgIJ4d5pWI9H2lPAyr8qVjbd0
q2a1b9sYufGIwsEL6gdIcC/F4peH70hwi3rUhf62ve5bcBZx8hr+3c6R03s/IhpvUslDD5yz858S
fK69sWgGel5DRrS3XULAMrx3SQVvDsBji1GiLQ+NXyg4DoA9LkYmC6aB1RO/mLIpZQFrfPXLhNGj
l8kUQVnjxvQp8gD0xjsUm8QV43/KBubE0XSyJkNseYwLjrrU0NHZU6ArQL5IiqLoDrr0uE4H3ZFX
WW50jAo4TQlaw5O/LqsWOSOru0F2K4csYMVGNJA9TIXtBrpfCc9PN+XI/Hie9bPJMJfoNbGNGWKt
u7ijBgznu+V/+TELkoBWOBTXuNBq17q/6SByu474Kybmsx0FydRhDTbjX/Cc2F+N8ibzK3+FKDbT
GYKlsVRUDDwOlAV48WEZb3QOHUkvF1Jp8eafe+bUqIS9ilkcJ3ARwmdUEJrcZmQJQEdgBOLdmdFT
kx+f0LXXp2AwK35F8JPF6kknUM+yb4NeAJNKaERYxjex497DGy7JkCSI1nPRc4rcREvQvKal3Ptu
+BLY3rQdAx/bsYrWdh0uCq/wwajYyMBNrV2ORWue8As0h6/QADIzPwZMe7rUOoUTOT7VAL0KIVNE
FdqEsHoXdR88tlV7MEWPVoDGI5vjZ2Il0EAE1gaooh3nf8FZnn0iGsfxACQVS8NA4JcqfQTuYbge
JmaGo6g4kUM4wC7nuTs0HsnOSW2J8COO9mETbLWdm2St6D+B4A0bcfIYLk8ksLac8Nf0Jg47ez+F
Me0TwYaEgz9yXrPeUvsxqLAJGZ/DwAwgbN8TuKMJDln0bbe16zDGvGUN6TvjCU00mKYkJ/b4oonD
HnNGeIzG+bHhILrwrh5DGnaQFxSp20pRv+5mNQ0/lBaxUT26abcEG+LDCSuAr+EI20IxSGoMm3PI
TT3Mu8nmAlLlv4wWHCPC51f+4u1HSsOYkM+ujuxs07KIzsyCVgkngaxSjObLydoM4Q91VX9XBNNj
RVruIVOhOuVBsKmM+tTVzaEJyrNwqOYz1BKHwJpf7Gp8Cpvkgu4bSKgXf2vH2XslQ7lhch/drHp1
YuchZWbhdq+l61wa01t1qFJHagqJVtuR6qm1eVp6qv44F495vVGhLLcFVlQmc3itGfwi+suLdAEl
kILM6cboElpV441bgJaI22+rHji1mOQL2/mxKzugle3FXJ41u/yu6uKtlJwl5pETV99+zqVhgcQS
7ZpT+T1uG73tg/a5LsRLaD0ZUK1RZBtQ4qZbH3Yp92JHpqYex02GTGkV1eOnmvVBzhJKEm4Uct4+
RoNRs2wMVBK5/YeCbT0kODa6JvqFMuFIKp/kEN2ZkLmSe7yLXur9iF7d4USjV2ZFH7Ed3IecOBM4
p17h/BhGjhCX92wM7YtXpuBRWMgXBK4lLVyAfFLA6RaKbobHtfBvRbCyRng6vdPCORuPGVfxTpu3
Y5SIo53qo6JMXRe1HyL6CKydJPRlzTl4l2kYASPICKqvEycQiCWwtOYegQu+liz159NEJVlBeHGt
aSuStqer3xrHyAieEs4KdmWyS6evBn6FQ0bJgRrG4tCBV9TLp+5IGqSPzEfvIlOZl6jQTNxybxU6
oIqAM6zR6awXg7/MKJl94sMJjcbtCJWt2WWz9bucTIhaWlV7pYkYlojoyemhm242N6EHpoYSmxbm
PHzmLbO7vlNbv3QLOpKczUkKq2kRpFSvYDvau8GpXtXOQqfIwdsSOzNxXn2XigZHLPg8nTEbR0lh
G/OfTI8op7mNVklfODB8ANr6CD0SlHfwCNVbg2pmYzSPVZhhN8rj7Gk0TyxEzJ0b6EBL9+lQleV7
2eYvQV2C85nKL4dad208ZF58a+mUK10gS4jbfjz7cf3VxhEam8Sx9uU0Mr+0lbwNKfKpteaPMQ/G
Y5hmzh2WWkpUf7rPZ2e+CYZoY+QwCbSG/lszHhQTewgraN76lzgGoM68OF5J25T7UnvJFovHsA5n
azrUhywf27tkbumlWUTV4xHZ+K15MAfnVnRK763sx47LnMBrZDMZge/rltKS923TtG0Z7+oxpZ6m
3QzYlDzd8lmYmDxmYnJ2lpEgjOmBxxsMyRm0Pw/43TelhS6Q7jgTda8njH7yV1XB39PDsImKEFwH
xt3NmKKmBvP8FIg8vkkY5cZpetJMkm+oklm+ps6BpVv/SfLxS9OWOZEKcJIaClVhpat+7vVOh6a7
l543gH6Vf2q32jbSD18Jfb2TUfdnpPdzA0lxwp5nN7sRSXqwqDVCAYF4Cm0EHHWT3jI8X3sCaymd
+I9UTdjtBXxSDo7zufHz73RyM7CXdKWEz4nACZGvGDp7aAwLNTRWHof29U6lVrbnrRxa5JyPQ83D
PXr2MYF3dGca8StcFXKY9fjRplV1rgsGwX6kNQQHN9/gP1gRQ2te4mE6TuPSrGTAj0wNT3SzNQmB
ZKJPFWej7iNg0r4klUQLJFB2uJYcD51EWZ7HwdYZIBulqTNBnrgYPVzD1NTdQ1KYW7MWR7aJauOi
/IZjfSzqnzoyhjMf3hewPr1Py5lhRgBS1TLO0uyTG+n/spmJ7BtFiS8Nosu6xn0ZhF1eEHoVZE47
HJzJc96bJuOEfKHoDCWjJj9uSL7sa55Q5CtZe1p8MhSc3pnWLJHSPlq6xqy+ZDc9Qt0GrRrftrP3
y2T3UE73Sxmju68GPlHJGTRox3bvJd9VmzsPWnRYTJLwFPo/PXDlDKTRytVJRQFcrUak3KfIWGhT
CVRkY+4enTK6p3U07FkKV67R+k8F6qqdO/tA0pCAkeM8PDRD8p2o4tByRtoEE1v8oMrXIYlpePFI
WkHzUSjb3y/Twk0yjO4WLP2vxCufrbZoL+GIfzCDatLZU/QrCjlxmMp5mAeIapzqkDkjLCYSInnT
TAl2iMeiWd1AWgxXs5a/O8t+bNJ4E6O7prabwu3QgXWngujIu6EZIVFOFNVDapsDZ6B82Sf6A+ks
07EfzrKljwkuzgCihw8oDhvoBCre1mICmmDFt+DyD64LQsXXqMSSclYIQsNF2zgfSuXudAtfu84G
wG1QD/zqzj0ZTgDZhig3bsEFDyvlWQPVls5j48gVykgq5uU0GSvYuJEmNc4FEJ3Hzbdj8DrjVO/w
wIQEODi3tUU3tPfnz7xZ/Hk+lomwhBZW/XIG6KmAVNIu9+CcKpc1sYkPTufdu8NUMlxyQJRZqccg
z8KQqKjK42IRBa1nIpDwdwDBR4cUlla+lczsrM6Z6Nepu3DOPzlcxVA+o530go9RC5vpDFR8p+w2
aZSkR1l/Z0NPQgu6DQ5gQcsz6ODpDu/r3HZILSseFSlAqClBhvDoXfyge8efu+5Rh64nw3+r8AKC
vI/Pimn3JkiZdiKtR/8rz31e1cw9cL8YLbIyeksXxbF5wbbu/dgD9AdqorfbCTFJiVmkp/obnPFZ
uu/ADu6S3AHdaBvdyXKdfMVWAnkMG1owoZQzXe8AHYTCq2l2xhgNx3bWBTj08gnc9yuAnkPgTM6K
xmK26TWLQE57Ju2Wvv3CkM+a2NmpkHG9NxZq87ukVf0W9w5/u+m2tdkH2wQvy11u6uGmbR0EpPCI
48Fjp4dNhWDsnFtISeekbI4xMk6QssPjoCLvqJ7bTJEWX8XoBYA6hNwku9aE2OtahHBMKJpQ0r0o
TIOHMQFGi93ABF9X7oVADcnO90nZMG9aHyCikPaDqkLEtLSbV4lFBaJ7jAapzB8VgNR96AYVPqqu
ZqwPb7Eu1VfkQLkqWuOxzVrJdZHRvVTg6vzeotmYuhxMH+bcwXeeID9DJP7o5uwGQTLfORwIWbS7
de9ImAlSgNegUB9HvyQlTURvqr3U3U9Ibf4wiyK4a4wZBmRIciyiB1TbgJNEx+32AOEMvyaa5Tak
LTcgiL10pvUnnyZMKcq4NF3fran4z4bF9tzDOrqttDp4qO4xV6Onxo1uRZnYDwXBM5na1wKWK5In
EHDfKv4YpDrmJk8TqGx7G+ETkKVziAZqwM4anP0kinrFSkvxT9ji3ordbeyoAAl0ikTaaTBqmdau
e0tn/VPUHSUy/K6stn8Hbll82QCzXcBwU13eprFMVzgq9hKex77GY4aRILuZAbxrY4x3sys5FOH6
7EH2cKVAVLFc5Cho1kjEvE1fLiLIxFhlw/BYhiw/LdazCEQvPBt0Eokd/ZETeKu2twS6ewR5QJA4
YARqh8L7TPp5vEvH/Nx1qlv5HBwYb4wAhCLjmOmuv7HUvO86V5278VcNwuZoUhutWyPZjl5snsly
jtZ5Tl9Pl12EaNZvb4beQPi7ZMVB5XunZeycsBo8eIOaNv0w/6HaMMBxfMDggjczLFOhwjtFmAqW
c/ewEaNDokPK5jdZ+YO91Ddei56jqZOtHlJ559EuD+FrIcu2s8sYzkjS+3ZfOVuhvAOztc+0bsut
rC04viGBTAnHj2s6YuCLE4L74+AwCeafb3a6yB7R/d3PvepJUqZJ4Ug+zrSa/zCuBHaQpd+zNI+c
8djMou0U8y4ocJpHdOrnxYSiXRfeYoMIAEbXEah0dOciFQeyRVBeZENgUvbOpFV0y66B5n9uLwgV
+fgsHmlV3dbI8h3BWtGY/oYmgbvKRVfei5jWiUwM8moqPzmAizgwdWdoLOhqF+BN6PNgZLGK30Fa
XFx0cJsGgFrapudstNSThE2XjNn5+sUw0vzsSiCqdI03seZegG62oohtmEqCW3YCOgRXklRdcphP
cthkXeOXN5jI1iKT/U5q7z0pJbPbeLbvQZ2zajJXRDXAJKKpzJt2dH8Bl7wJsrjfpHF0Kdw0f8sz
PuuW4XvhJT2YNhcdyTLptJhXid4TL/B87OlSMyI84b2gERz4ipUZRyJNk+KmI1QiSKpncN9kOWCw
2dCpy7sABhtNL98V+8r1IIuAZlknZLGhPpGY8tR4rwTMjbGFrVWOF8/Pyr1qjN0c2AMui+lIEfeN
cpy5JX3Moeug0AVMDzwdoX713HKrgX/jD6JAIYoCQ8Nwgy5l3gcFrCrRp3cQhR9hZdC1nnuDMjmg
cddC9pg87It67AeCEWmSQWVutJq2nSeOQRNWd9cvpky3SeJue9dOjo4mnqS0Y3OvR5ZZenJ4buGj
v8VUVN6EOdYM6eJUMfnwhU+2otnY92PWiXMMWUrZtFztPuZ8CgVr5UPIm107ONs5R4GiqO8joi5Y
d0+lR+00tkxApujgF4XYWegJpmi+AXT1GlWuexYEye6ZtGer2Mw+fNepkNyCDIf5MG1CMBkbMaRv
JYPNKVPmturFeRxZmEpdHY3X1EG7oY2839F3Hg5Jw+Yu7JCHDDnpPoOdljc6vI9GKu8Irz9j6H5+
tLPWB7RunyNiTZ6CHJYBLhbhvGqbshZDolmA/Jg84svS1j91mBJ8G/tt4uX5yUnkPc4yEBV+tQ3s
vALSlxkHd9Rg+ZMvPD/+rsLDSnRL7WzdZJJ0UDDBxnOpofNhxxLuH1IcENrkKV1M5GemgZa2RopS
RPLoK+93kSR0l9rgtsvn6AmLlpXiaaMsZmXMXiqrGe4QfwkwwMKNLkxCONEVPsAb6gGLhZ8x7Lae
I9i/emkWltOuhIKxbvL0oAUfesNpYXEDs/3AbF3jOd6JEXXzHN13DMho302NsW8q5IFkla7Yxe7A
ERJS0jU30UwoAc3CVYd5fFPH9FB0i1ucdndm+3jrJ3IKRDfySnE3CuiVjAEZVlMeGEx2d3X5SHwH
IZdJ4hxMUos3WIN/e/6zbTEaMnt1LjMsBUSan3z66kF6hC+Rv+cZ3j3kARR10yNHfrBopNPweSJw
qEOBM7+uH6UPhiFtjnRbSHJKiTQfhXsayoBWPOMIzsiEhCiTzLE4gySTPZRNwUlpjIkk52kNHKxv
NjnxTEE59Hro/UAVz54Fryk1p42Vtb895RsHnEBQ6BPjAi0KLoXLujvntM1M39uWjo6fe2+Qa1/P
D87YJFvbDlFhlj2RrW5D6TYHN3mXhIel5T1qKMFJ63wFE2f7LCgO/VBa+8Kp4eNkEzBR61UB9gVt
gSAHU+jEOsQXx8Su0XpxjcrR7BvAGwxMLZxuKkLCcv1yVWMgTSBeKMMiTC2Pxqi2U3wdApXSiRMH
A5+kpGCNOU+hDiuAKuHgqpgL8UfXP79+acYq2rWG/8JLZ+QLWKk4oZKn9Wk19/HyX9dvRbSjqz4g
0HmRtiUOwqFMljsHBx7/LpRiTHHtjqoTtB2AWSOGAbR8QVOIACR1Tc5hgIJGAG0nOtzdX19es5b3
6y/qs8JIn2UNFzTtvfmvb5GtOfwVV/b/tdTPk0YR/fEFtovRU1tDmfmnLFqYRH/+Q7j7b1rq2496
yj6Kr//hL/2nllq6/2FSSptYdRyk0WQZ/u+gdxmgizbZBlxCWH2GJf8UU0vEbERLC9/2MEOhs/4v
MbX8j0UMZkmPiYM0pWn/v4iprX/L8TPJmjYRGUPsDwSa7v8eZlmYHbPtWHHomLth0/WM1zoH3Rgj
LDXh1C1H8D6gF911tcA3+xHnf6YkM50KP/3kfZGixii+hTfLbvqPS/k/aKAt3uV/D8kzTWmzQrmC
t+k73r8k0rVZELe4GaYDR7aTALLHFmsxFEJ0M7Xsj8zT8Aoyd877vZVD6dH0wFb/5xexfAr/+iL8
JeAcubvn/LvcvHUbs6/ceDxMbZXszX5iaKFpJU+ai4IHTFMt5JF9B9/u+0+KsXjrkla0Mt5MxUvM
QrppgfVU4l+CCkIb3k+QmJjZe9a+O4YO1yxg2PdiZFL/txfu/vtLR25PIqANmZk77d/CYbvJT/pJ
tnjyJJCA7q1nuL0Vtn3IwihfpyMqLj+nBRan5iYySb80Kw7UM2It3mVrZPfDiFHmeq1nhb7KTBH5
emyn/HsHRARYDof8pbfM51HECNLJx1v34W8uko3Grb2RBf8M8oIHoLED51ocQmOl9pGJmTHvBOEx
S1md+EW5mg8W1QGZNYRxmXY6rZipAdXmoL3z9aMAMUeqqaV23uxswjgd0Jcb7TpAjAYvEKIy3ZlC
3XLc3oZmTp8iJAfE6rFxI8FENBj2m8gtEA3qpygy7mkoaJZcfibLqWVE0WwzxcxDJuKgat48kh2Y
Hpl+R7ME3Z25huxzoNkgDdqZNA43GE4emW3AGZYrufx0DebMS+91kEt+pkv2qQEvT+ll5utATLRU
dKOlvbUMM8Cb5flbO/tF2ys5xOgDGbSiie1FhJq0TI9DDg8XeXm8X7RA+Md/lT7FQLXc4KFAs53R
72QWikkwSPX7ALN6lSviWPRnZjpM3lJfMfePEPq7F/46lQpiK8Jf6eFIpPbjDLnUgzFKlvErEljm
NtI4oAHnqSrts0wFwO5Z31deHKwMLIsrP/X29PBpLTNOXDfvFiE/sX9xHMJ5q2baQ/ljADn4GO4Y
KakWJXKjIWBLw+dWCvm9SKcnZpt/PaULv9PAN4gW7L7iccAw+Vw5gH58Obw1XvoOqe5OAzg1AvVO
u2ZtV4w7wxxuwmI2rmIwgxJ7YE3yBES4A0wHnsk64uTrESKfjngQ07fRVe/XP8ktPqZ+YE7kOk9T
xWcedPm6mxF7NGoWW+WTtxT3Nawkg11/aF4c5vObKXVejUgBEQyzXV/0B+UUJZRJTt8V105qHutq
jn+kjs5jmr0Ih/Gy4YIs65D5E9sMEKdOdgw5t7PAZCbbCxwBGPtw8Na0DLCxx0CHLW5EPMurwfKI
rnAYFGSFycyrGBlwY23pQYVc30GUyGhVFhMuuJGGa8CdmtYuDyZDObV87jOKwcHrD049nO10IFko
z9aGVdGg4aMrlYdwr9hbmmWpNkj4HBBihli9jVgeC0gYm9CrdwXWLup7fd/gUN1K6aNtDW+JWOEK
+w4yBFVtu3K5MXoZEeWDkkZGOaLpusw27jADpJjIxzbRoY9xTxcq8Jn98/MRDZe52iMP1ruw8kHN
GNOlR+KVupZ7EoP9R1jg5KtpAmmTly917a1ZOb6jDgSGRgQMoW54LSZqRm24kN7RhthmqbcpeZic
3rh7k4DuRZHkL20+wGsn1RR1N1MilPSbqgn4SH0obtdlvDQxWTbwOHbkbZIaBDSRaErGMlBtsGiQ
y8kk77r4VXgj8KqLS2S8Oqb/2bnMLTPHP9cInOLaWss227lB99otNm0/hUh5/Wx0x/1RBtn7BHJ/
Y/j70k73VSP0Snc8JEPCWTuLlpMeR17ERtataTl/6pwtgrgMsfV5droJJTrAHLVJL70c2nXasv06
ikf7+ol0LQvzMMRbeB7f7hgjmWKNmAqWdodXPWZpvk4OvkXOWLYkRxThDEMbfNWY8dvjQe3zHIVE
wWdUivTn6oWULW1Qr+WiYFwBuVRvxvIFR8uXA+1kHtQ79EoNV5Z/iCqFJ3o8uR15AxU3+z4zk9fG
ry52yvZyvU3YGwQxMNHjLFAVFzOPRg9bxwo+0iHGHR79ut4i88BqlpnRT4P2IYfhyxg22vkWalWZ
PMYDr1DqAl5FrXYI4n6EyQakGzaPLh3HlSUUj7iVXVwXNAMqKiwzoFY4bJMV7kEvZDBfBuQj97i7
xVjSVd+AhR+YPE4bJqmfkW2ayGTjHJmmvidxlIXAyUreA+/TN1ErzC3yysF5azhHsyuEqGu5v5Di
cadF6oesJhPpRbGdyPbclXPzh+R4Ddm43lR993S9i+yAZcWJ5g87Vpe69rcSgRydeT5ODs32sVHY
b505P0/wFDBTxwo13QSnfyZjt+beBvCeozcq30UWZGv01Lu653zMR0dCm0uc3/Kc18w40BavTFwJ
QKI4zC9/pnNw1FH1WcQyWFdpBv0iacIT7W4/ZymeM3zaAdfUaJdf1KPTKZJXb/mXp5LBbKcuuV28
a7bVVR9OdP7C597kU3FzAzg8w+IlA6ghY4TdUC8bR9BXSFVnFNcR+04KUMaCDW85TNCTNP1yQn6m
19VLw7VFd0iLm3nttnL5z1YAdWfr82JyXx21REY05hoCARoGVm/0aGrTBfF3Gje7BpIwtm9mnG5u
7wj2fOl594xj8vdrHWCM3PejyTbJZ8K5VLDeF3BEF4akxP5vj28tLQSIDDYPfKN+sCr91o68z11Q
TGV7nkgvSxmfr+ZU/RTjM+M0yJ5V+A7XnzVR6qV0PveYbrZstYsOZ59H9IA7zUIm5vxYmNM6pmrZ
LNfMNqMPYmCYW/NGUPWrCuhEZrALzWaLSxl5YLkeiaFFtMrVnQeuaSLEXrLaIEPg4v5VgliMdHr0
SUXAOqYbbosWqQC82WAr0wtZQHtP2DA9eMyjoXqCwoltidhXxEWY8G1S2JD50FUzQfbK0aW6D7DJ
AFa9wt/qmhtp4eKVqBpDV93WNmph44tDSc/TyaPSha3aZ7640Q7Sqs4Z36IMPYFellUr5r2h6FoG
Fvo9iFjtKnuZEd1BnKVVFs+sZ1yLpjNRZubQw0srTNdEF6Nopr6yXUAn6XiKR/Jqro+sYIYWpS7N
dbWQSCN+GQq9r8g3O+TjLKQtRxHUq0yuQQl+Bw6ycmJvD+R6gFMJl1J3bc4RJ30rG7eRg+tryH6k
z9bqBtw/Jb5Gio0fzhs7Vwc0ctiCp0L8auuDnGasWTJ6aGJk8lTK035e6vjRaXZ5mz1rePpYSHiT
RRkd4m46NoJV2XCRIiiz3LUTmQ0511PFLKD9RJc9VdGl9LCj0Q+iF9Tkn03XPdJXpkhLeMxtyXVN
3TeABn5vz3ei+90s622aWjfI4+XaGbtp3w2vqkMUV/U/OEkoaR2msvYIUt9nTcLBeGkp9IDkxj/+
8u/nPShJzA+eORAQ6OU0t7L3NC3utfEnG5NqLcLgUqbXfbSEGBebBwmywPEU6kfIS0XJPmTU7SlP
0X5jcxLbvIMdl5CF7IzmLiIMdtUsUrSmpERU5QIwYvXpkco0xiYvURTP1Qc9vC0P5S0SniUehUev
HPP7axmUiN8ZLvb1dTFOLf/5WoNcF/G0YXO1UvMhtFv+mrKoe1T9LqKQqPnsp+saRCo5O5zFI2IX
/rPOk/uxaN5TzalG7Hs53o3xi41ZmJYdmSARu3O+RAKGjfq81r7SI/o4NNjDbWDmPTU406fywHqA
lCHJfpDW83RTcGOX+B1wvFlZPSWkZ4anpEt+Eku9kz7DeunlD+TlgnJt1qWDgrO+x7K8K1Hgrgs0
+ht6cpqYyNZZLSXqvCz/s1KHqAIWxH5EteHXq1Fav5HXcbSo+0PcMDVdlKnO5D1lgXooUq51n2Tv
DFNoUddrm9a001hreC3PXRI8j4XNGtl6N7j73q+7I9o87n+vu4O8fqoowTlQJExN3XvHyd4TxKqr
Us5fFChEoXA3Z3n4LCLe8vLeR2bAAehr/F58ojkkhKjhoSrTH6pEjiHse66j0APxhqxlCwiYodL5
oAhADALLYlyK/yhxP0Tx3SUsEnPp3RSYX9ReG+r7eu9DMqD5Fy5K0+UnMuIwqZXXfUcVU3TNExPn
W1ks+4uaKVqSX0u94DrBc+Zz6O4T6mHbA0i8XBt/mG8TA+mwO/Z/yvYdiXu2vn7Mc/wAR4GhBlrc
HWD2e9TSB8PJSJll7am64l00vNZaEOZka7lvkqDc6ebTDBFRJRaLdfqzHJE29FRY0J6GmdXueh8v
+3Dl0MadeFk5TB5yme77wT8P1gNKrITikBJpEt03pea74+EuagiLz93sp7V7ZDk9/I56OecOMTPh
iHkoR75TYoyPsLwZmrVnAEDJIpRCYc8H4RA+XnmzcTCM6reduC+t6X/EQXBHovc90FaqBprjKyJ6
vwp4U/uUO3d3YY47UJM8J7NHmlA89HsH1CiPvbmcUpJSMNwbiCnaCLclGwqdhJAoyFA6Y8FiXLwU
lUsPwGo4rpeQANcLbOp66IQchJIsoMyjIESm9qrcEG3/dO5s3W98g9JCeOGLxwaJxgJ5RaPYJGcc
LIzPcMeSe1pWYkLJYp07TRa7GdKVrywjOOCQYFIc/PTkZixq9E2qXJQ5f0iFbvdhz1PTReFu7Ilc
JRHtzGZNdDuVGBbdo0D2vA3qmYcdJcCK+ADGPdb0AQEKoAv3uZQ4RfpUQtuEqe7n7RMPY3lyg0RD
b9SgTRH6o9wtcVKYBCQs7HtZblJa0ryPrGcGlNan4b7I4tKEqOkT+Wt4d16C6envL5rC82QWI9lF
CFGY1OCRJjQLkyBYLlyQEqB2UpD8XPUv2Ij16foiQkGxcqiXv3v9ZhcylyyhXm6ZE+tT1ieXqsd4
bC594p5C7CTdtl1FtuzItZowN+Mfxp+6fDEt0s4zBCp/f+uvH/GvGaAC48pfP2g0MX/RFAknYFRH
OK7++Wuuf/vvH/77l/WLWfoaUnL93vU/r//v7++RJvlfL+n6zb9/5u8f/Jfv/ctvJeuUThWdmv98
ewC8+I09+iByYZcXcP1F15fXSNz7bQvq7foH1y8hMow4RZBh5Ubd3Fx/uWoxf/3zogRfZZCMR7Bt
SPARP8S2ZygmGrkDxLa2ESfWxKqc7H4IMUYvLf/rf0fSe+i0XzEJwIrDfBiFQ4bvpi2IMYvfu1a2
O67lgD0/0mtifMc1oR3eqZMOkHbPb70Tr9s9Xb95/VJVWbyxo9SAamQbJ7pgqClxqG6bZlxQvKl/
uv4/llN5SrS5FhD5Dy6DiBbw744YZnEyai1OCNYEYvX+QQDxIyWME2ZTV5+K/VeHHDiOEYL2BqoB
9K2c4Dc8OFaGJnAw0z3PLW/Q5CiSAy3Ex4O/LegPYWzPe69Qap04uljJwHnJsFN9ddM2nYAV1bgz
o9Rv1hFiWkvofOt6OdSh/0XYefXGzWRp+A8tAeZw2zlJakmteENYssViziySv36fomeAxXzA7IVh
W6GbzVB1znlTEt9BmH5FD+zM2JfrqPhqEz1KCJ3WDLWKtL6V3Yl7pyX/VhT4EnEiTzyrFg99TAGB
LoN54i1Jh0f4Mt7KaIt7zc9aCMIBKU4wD+KXSMckJOs0Yh/6hAXNzzctgPLB8rXdpAm4XvIStxja
ZNiKt2F6rSzbxfzS6KFqzLQ0hDzA04XyApGORODoAYfFR6uPrrMG6UCDpz335jOUg/Qsszhio/MJ
W7X8P+Zkf/sFem+t1oialvnvAD7Mqq277zpHhoI0aKxBAzWn2mMCfoUnc99WBlVwPl4iMdGuuCy8
gGmbqrf9IzDBXdHBi2tLmlJLjhvZ/86MaXhq29baWtiJ0d1h9yw4ZJcbwscnrAyN7Dg6ErAeZVqD
A+nDmBOSxw3kMTPzDnkTY61YGekhT4J952Kp7vge0QalV6AUFE9j7sJZ61P7rDuNjz4MVh6sTXhS
LQlqEsOiLkUkmE/vuD6wQQ9WBU5Axpzfku8ZWERwRDYz33y6H3LNwOiAyHNZY+2rnLlsfCIdP/qo
Qci2GKyfgwCCZTlYMP6Iem1BnHWmtyRQD5+G3aCyYYorg2cEP7BnqI9NORjMbeWl6iyftCNfXxko
3ioLc9zcpcmswu43R0C/YoSYolvV2YF2XQwu3QiIK62VgLs27W1dnNIA6kckmo7DSLZ5nB5JGe1u
CYYM9+kM2a3bFHjKo+4ofzGPA1a1/e2gd84xqD2UDl2IS2P1TWt4wPTr02Zr3KdUYjjrY2wcphVt
DDPEpOGtauynE1fsRGSche779wOza24gzOMbveYUxjtTHw6OO288Wdo7pyUKsXeMT99BKdJE9oMu
w13Rah33PbZ2nSVfyaK9MkZ4cUN/31ssFq6or6Ub3OWGdwtDRiIw56lX4weUKCiyWv2LxpWRiouv
uFa+YQst1pAer4jFmWWBIWZ2hT1aPPjExNRfmUwOhlShR5PVY6Hr3hPSQFqGhObVEQW8iYgOH6wv
RkNfYk7uBqBqLXO5GYp7994WSb9DVmzdG8o+Pqr2fhtegJhZZ2KEeKP22OZk2vQVA9k24raFjuga
98UY4VfoMq6KXAnnRodcQV1+aGrvDRJx9mASXKSmc4WLIrku6z95gJ+1ajowILggY7uU+TxiYBPX
q2SGVTWH7rWxquZQ99ZuMsWtq/K7IMEOQynMVnVgPMhhuJsS2Z/IsEFcnDbKeoAHNQtXTuIfSVzf
ziHRVb0kAaHHsa/FNWxmtnAUyrgi1fVLkSXizlQUFxxssTFPr5LYGdZOo9+i3G7Oj2i7nWdomSSX
uAP8gfCqdwHDpijLtt3kvjq28zIqR0S6l7IdtqjY150pX6cpuFLJbYIBVk7sOFj3QdmN219I/508
ueHMv2epu8UEOqDrhwobvnmAe4Qkm2/dwLy3dg4oaE7BUGJGPK6tQYNiTUGSllG6iaz6uYKPDE0C
w+sDpPQd4CkIBz1iDtYnYmzsquFmI16eTe9K4Gm7TtnE0PU8Qrr8tuxhG4fl/ZSDGfTTinSDrMZu
uDayTWpgoepne1lTq9j9dyJGZhN1SfJaHlwAvb9sNcvQmDAyWgcp0TZdugUlw2zXvKvK6ta5xice
6A+9Kt/b7hgO+VcAQgiV9qYR/rK7DPgKXTrSN7Q23EiM2Jshv3QVMr/2AzP77ehp17hqHnzbuhOY
asBxpaUroQEOG3swv4RJGWzWzQE996uMzEeF/keQ1x0rmhhrOTU8JMryVsT3Y1uf0wSOXdUf7IH4
CM553pQYIJnvxlhdjSy6QBt9MF3mB1C/4BGX5glLVQze8kdPzy5NRK2GOZ6SaiUpKn0DDRDk2HZl
K4fWzHuy6LkwUOuvcAZWscDzqmlesa8558wjsLN+VZdGvVTsyUPNykYgHIv3XeK/Y3W6pmNH8NEM
H6Hvfo+1d2vhmSH3Q+b9knE5+hGndJ4hOc9b33hxQvHloNkP/GgTZg6IF8pxI/OOETGu0IpOgdFv
jBSdi2vLO2bwK9s2iKQweKHuqI2f4zSUG4vRKcq/bSoiyP/RL+YpT9D1o4yeUSctj4mnHaJSyoZo
L+bgSctBKFiWun2W1bSq5xntx0Zy4qeMlS32HhEp/CrmiODSq89QJ2ubo5PUnxqEX4ZJ2q+WlaxL
SvSffk5kp4F8AuT+ztKcfXPXjcSRaoRRNCgFkEmnT6Mz/WEm9kapsqmr6ruJz37CbViwXeHR4h+n
0ki3dn4e8/xABDJz0fY8z3W4cw0yT4PUfyT28tNDfkeHLQ99Y2OzQNoDlgze1Z4KHfUk+YAlvgmh
R4CnbmObzngN57wT6Wh4ZEP48lFxItcZ2ZMmt503Thx+1mP9p4I56nbKvtCI3I1ubOtcc87jpB8S
dKrgP0rESGZE549fbVp/uS27fmFzE+opEKvDULmCvTwSBw+eJqaNKL3L2MofMVT5vsDuuUVYCaEI
xUPqRB9S416TswGwSnmAo8NWatCFUK5gTt13ysVDYJDowi/zkhdroj+qc3NPrjHtBWJQIl9oqfIm
e4Xs7p1dg8lxoj0x4X4kidZaJxkbvTsyozUJqrcneTIS42miSFKTF/wEbUS1Ie2g8NblBLM70UiD
H1N7z+r3bRjhqxMRqN5Vw0dfEE3GfAla59h/lgCoYuSSxteynD90CDirrmBPx3roYst87yBi4Q7d
a2X5NpjcIxI6ZB8wOE0RfeyI3o6Jpee3eufOnCzuedl/TEKgyidYyStrnA8hPsDK1F7IvOCcZPWL
Nkx3CB5eiEPY4JY3ojVrmlUn+3NiOntJpls+mQ8EEuqYQmLZI0vS2QU9NGbEP7BzstXGAetakV54
qzGWl7n/guAAO+ove6a+ptZzPaZSU04vnObxYzLWexnaB9usPob+wejWjm981TPIK38meBHU6+te
qggquXOd4VkHfV/5FT4kUFnBeJmKYVGCPwYENKSUuky36tcIuF+b//pejEzRprxvMsboCbiTn69b
bhCdt3B5efVqMT4zdWXsB/GrGTBt/tevktzIagRZRP1IAHY15svblU5wUC9BOvkqRco64fKCQdyK
Sl79F1v1jRW/zPNVvW6E3N7kb/XDIe/RCx+/HSNlJeSoRqt4nXFQj9MbTPUGh/uK2VlQoIRjQ6qE
i7wfUYKWYCXAv9X3+FMFDSpknHIRRy9fp0g1auj/CQML/UsemhItiiWWv4kmPtBVQMeBA87NiAI/
4PfVj1SGt1P/Vo8jDiwYFaF5HdqDBZWrJUX9gXVobTCxGzr9R7150U0pECVj3lg+Vgl6BqSwHb9B
iAsxteshDxjhFDw4+wriofoJ9X6VqE6CxB91rE6LfcGch59WHBzUm1dNv63UBwC4ttLxCJY8QqZX
L6eOS72tpj5OQc6W+uy8Ru3sI7ot9dvC1x8akGxDeQrw7UaGa3V61MdTp/DfHzXgqMyRao65WT3T
TFhUcABr5WhvWb93hJ2ucr7WgoBNHnFD/Fv9TAner7tfOm0Laa8nnR9t078/Hkf6Xo9DOLp44wQh
av4OTiZFeweM7+3Ul+A/rkuyktWPQE3fzD0dig7R2si+1UvpqBFz6HguQ/epab5kWVzVS6qfCcr7
bH5QP6GOqSj/iPt/H1TEF9UBo6M5qrfiLe5Qw7BSI99ojeXt1Mu5WOvxMlaDjWsyPWGUKgWxMn2y
dQt0IM27XgJiQde9jiaDxQYLrc4C1SM9ZFX0DYlWJkhHZMU/HsW2xVOVSBSds+ZWexERuBhnKB0V
BaHqkh+225uGKIWpH7xCkeMVZwZnPdcPPYi5iauFgF3PvcQsWi+4FX3R3SVIMvbQEX6qAFXJCJo9
Y1NIEAjGJGjIDg4KJD4rqdXo+4RkszEf6Ra+lN02gLv3sNAg7Jobdcjv2SQZlilQxK5vNu58wBBe
u2naqaSRb4tjMR+EmQvMGojTGYpbOPuwdTqDvkkSpNtmp7YcHtWfPKjNbaVoYooKhmz0aiqH6GFn
eC0IFpvIWgrxo9jTu9j71oKuXjfO9NaFDVGoDiNqPWbyTbLfFusGc2s13gueIB9WgdjKRWCU0TBI
SM1D9Tk53XMaUQ/NDkN21wRtsnBBwJWXNk4/emPhoFRmw2qU/TDB2SpqgtrTj/TbMu72MSrlKUHL
jDdRnqML5HISL8jZzgFMGhs8JrYOk2bHBwSvAhEkqx8mEpspn1BaYzuQEPoeZRS2roLM9A4GRVuk
3wgk220Z0T2akuMv/pR+CVhrZR/wJ7a61lExAe4fZWMc9BwAyYx16J/hlpDBt6IyCgLTUxyOK0yU
LXs3GwAtHRLCtd3rzxXZBRvAtM+wxEZtRi29UiAFmbXxAYNloncVOEntfEBFBwAiGHSb8PpWXWjt
57ADic3YhgOGKpOc9pZbFtCbh7NeZfaxavRzowJbJhlD4ldgpmOSYKZG+NkxLznMhXlVQhXDg0DC
/xt2McGKuHsyyzYUDC0NeG9Z+RyFFKnLje57YsTdyN02RuBs7THsdzmdzIRP2L5oAf2KvGqpsMCd
e3XLV5rn0o87yc4hFXFyrOOkcVV7TJMk5o/gISSpO5NEwBFtgFWcB907BaX2Oofjd+wT7xIHyW55
63qEf+GmSh5jon0ccMU7kqoM/6teQ2eARDJa5f1vWkHVV6pcIB5WaG6KDlYUdwlWQRtyo855zH0h
dRdBud+sK8ngtM+c3RBQt8wxOUPltI8nftND/u/oVFQwwm6WYmZI1mjivrtRMxYmw75w6lteMGoW
WPGszIn8JNskooWs4p5rG785YYnGhumGi9p8Vxii2Mvxm4pTRV5P5h5Ow7lr51U4mu+6ATghZEbm
EejKNBIA1cviisj5G7wbGR2kQMRQ1QkDqKtybCEC58fP7oKA0qjOGhthH1Nn9SyEPfe2lo8vcF36
deWyBhgp7hgDTYShd5fAOBoRc8JRwN4isoFgbFaxv3CqAhQXllRecjwUeet2jj+RxKELD56QKlbb
TlIeIfFMoJAdc8Y2IhA6MY+URraLDwkQ1DnJ4lPvYx4DXLSABk0GLkf58YnHO+CvYi6o/+l2eXVm
5ymHQQjYA3DDA9xX5n3XW6/k9t7hornXgRzTobwMLkJpY9zpmPAx+UPAG3ogAmWP2L5EF3gd9Z4B
rk/u5QwvrrCoytSbSJDoIjTe0Bl+tpnznAp4QIrlxdZB9QhYRjQQ0yEe4NzlNsv8bBfm+h+Fny3E
nBmNFx19hvMlvAlmxXcRTlnq8ni2SLHkudB7MEVSfe4YMX+zBv9cJ+mnaeRXq+JeIJOX3GuyxltA
bbNPvF0mPZ5nrDq7Xt84IRt+Nwf9pe3oQPXxTUTtBwlLdJgDTJ5Y4H3kK44MJJSbMTMjKviEzUho
ci+gnCMLYsuOIFYGUfwbghh5P4mBtxMjMg2dACYuKhylkQfZI8y1SXC55Jq/qxzzYqfD0wz0zeiQ
G8Qd+BD444PEI/1mHW22RD20mBdYz1Ub1CdANvwgEKa5BkyPMnGyY+DaD1bpfCau+V317ZeegCFj
Mxsy20E9NHAJAkxTyA4y8FtcYMY6R40QmriB9gPy+pT6N0obrJ58xdNSMFPf0D3Yvb/zwKQwSUT0
3b5iw7ZPHM5c44Fpe91Pkfi3v+QpidK5+tHkY1weC7s/p5nixSrIL4vdu9k0TrqidbaK6ZkS29zF
xJeJaoBQ0zaQRrDZVIidq0D2EfBmO03xjwIFXb96bU35nJIl0Kl+Y5i4exkEx+u4ch+5b56KRlvp
mk3hqrCzHpZIVQbveJ+8y5EFqEzAPutAsAiTzIW5ZrL/77xgC8L5fxCaDddwaUyQ6PoWvHO+//3r
KS6iFiPw/2lMHjQ4sN1hSU4gPFCBoiC/vp8UG3bQZ4JiuMAtY0SbhI6EYJaFu5D0nKSCDO6FGqh3
LHwjG7viKtUxd0PZlFdNMRm9iLIoDLzj8j8nHNXtnn1yTuqTiNy9KTr3brLocPTqlGQ9/dsAHBko
AK/Gr5kG9GmOOG///YM7/6ST//3YlucYfPZAnZj/88GhcZV5lZAeSJt2IHr+fpyNu8CDPIr3FNVa
c5dWP7hW+Ch3HGTavkHemKE4F0pSqjLfYAVQrpTw7zDlYQmGCbAFWfqhCPlFghIF2Bx8+TXBMoO/
6x3O3rKLMmAj1EM7E2BvHU2RPw9NyIMABRkjoR9VNgl1n6aKDzRaXI+/XHtFcCgKRkFhPV2psj5k
w4qtVrjcNWmJxHDE2DY+pOJc/anj+aHRMvv/OWkWtu3/uFv4oKbl+k4AuPsfJ833/NQbNAupUmxB
gCNvZQaj9FRJtGC5Y/PcmcBiC5lyoUeAuhxLm3Gc2lpoWC5eGbisQdoLgaL3ETGpCzlmoTXNM4uH
504lbVx2TruWM+dyC+Eh9ciY9OMvm822XrCrACRWpmiMNiMZH+a0ecRzhE1VHJtyFwmG0uoJ/O/3
jPfPe8ZyWDRQYfgwGf8hQYj6OjWDOGrJz2sxesf6NCSd2hNsEznJXBAzlEUWa4Vuol8nCeq8kPSw
q2VlRNK0TxSbHKHsg1ORMV17WxY/PPlY6vLhiBIvo5ejYBjr6XGEaVCqTSWy80/MQtmWguBWZDlv
aDBugQPB+qOdwxy/QYFV50IdchJSlshc+ckqPVrlst1KrzyNkQ+TKhlheGDv7OlEIc3TwkNKMJA5
OW11dP0abqHa25AMBnsnto/YkvtYdgzV2siAgSzGRzEt+D5oYH+mn3oI9yiaXlKoCbPXuugB2F2B
q3BecdIaPjlXHMOODTxuBmD2sYaJtfnvV8TUvX8uYJ5lIlqxdB9XLk//D1mI02vYMU+EdiYlpqcD
xeq+85NxY9pwdgp5786uteo6j6207k+uW5O3OYgf9uSqh9hsdtHLpDh1leJZkQJ3FkF+5zuRu9ZK
fkmLizdyxxgugF/9XZRa42i7eHUNdbLVDPOXLuffXhx9wj3byTa+mUH246csHLn2zJyFDZVUgIVV
ljYEjbeld5fY/eecV9V2qkOuh/tRKx6nHTIbwsMkRuSKWaGnvaiUXJXEJB8Cb9x2c3fW6k7fpUiG
/aZwzoUhnbMD3TVNrfzQAJMIXhorhhEH96HhKwVm3JIIkbx+aJnVkd2Z4XNNgaDiUHXY5HBnN5Vk
3JgRJcXShnij/FQcfK92GXay4Clm2EJnszoY6I71WxFiG0I3F06P22Q/WYD8zWdtcmyqwIVJtXzf
pJCzGu1RH6KfAlmdllgrHFt/LwVllFdXVwPBxGqB0En1ZCjiVuM5tzlsLqovRjD37iXNMSjDF1bK
T9Wa0kVb60nNhkTWvcvAeQ8xKEkdNP2EYiIdwcKUMeSlnqm4ApzuaI2ROc8lNooB+SA24dSCMs1J
f+xhfMRb8mzqwqVJhEMf4ydGSi2OqNEryXuHhanaiV9l1H9hh81rER+7DghVKJBEOHk+0m4SU5Ry
p8wCxE7Hh0VL6UTjurg0rndLNRi8itWlKs6WAE9FBsnWkMovfiaOPiL1UP/Lb+tV31EMPHT6Yknd
1IcYDqnPEMHDzgXJSPlpC2CnFLcku+BwzTZXCWEm3Hu7uvUGfP66JZ9StcJUsluca3WiC61HPyzf
l+gyb+bN9a5+jWvzfXnARVOJjVOMjyIZYAAosbVZm9cqGUl0b+jxWwYPEYhe7DdvfiSvjqU8yel7
Vo5M9g49ua81lHI55Z9BjsjW8PSnsS6fqri8Tko30QEld7THQcvmr4eZ3MR2eNMYnm9Cw0D6iNvo
0nZ3GoOTwWAUMFPeG4r+WGr8YjIeEV5f+ugXk35NW25bIc6G0bB7gBkhrD1XLgz/pLPic8NJtmfS
IaOieMfnYFv7CNlSCXANMv7Sp6WBK/LWcbRyLWUaXxNTHommlIfSJHndV25ech6IA9E9RhY9sfXF
wH6iB84eD7qrQ2951FI3w3+HZC3flxcyAb6cdDKf05lZcjpcNIEWbEbE0nkvvqhZjhoSRLyOiVMM
3xMzz03jVSqJi6CcuIvtXSFa3KZMC1/6LvA3KcKKvs/2bkcYKxYd+aYkwpgpaUenagPcdYrYA0mz
OHits12IQR2yngkTG67EFtez8ASr7IR/bL1LteI0z7FyPtet1UgKlMnUfC+Q3AqrwFiym0gBCOY7
fJJSHDLNq9YbeB7aWH3n+GViy4V/S/JeTXjT0r1GO+m0P6PJVx2NGUOJxecJSpp18rz2X/8CNjTS
MD9ppv44G665g752qHQslIRr3dygnE9B9yrr2GW+BBVFTrVDvIb6ZwcY1JPXTRjHCF+x1s6m15yh
PIyHOpy1c+wl3qmZf5b/tOory79Q1AGCkvLE2ZuSLfu4AwHQv5shrx9s2wvOYT8ne7+w3uI6SC9j
hCeZRaZpYOQO0NREpGBb3mHiCJ1FzveR52H6nGQGyhHijeKszs+ZhklfOcTVmjGicxaDeYVER16C
OsrlKCyv5WNY7U+J7dYqLIsG8kMMpOJPOBPQhq5LaTn73B/2ZjSJo5uRzt3V6QXDqGDtxLydTlQG
/vzdocqY0xuAh9gzwONtYQie/fy1xtjDQtp+TL3GPVeqCAmNEj7d2I57xGaPNja7B+n4e89gpJJS
dwK0jK9Bou/mWBlImr8tmaTbpDebMy4wzXkUxncNOX2Xj2V/FtXYr2DIRDssCrbpOBhHDz9fottD
9yxN21snEbAha/FzGPmvhFrHysIfOgtOaUPurvuCHtKyEgyNHp1uui9aHhcRGFdTo7VgYgJ/UGuT
A6mBOD6c/Pg0cwA9mnwGQ6Gxh+Q07FsjO0X91O313KVLruu5PTmahyA6tPBDA0RZJ5NxLWA44VMX
JsekDOEeo1xgRmhgY0FbmCIyOfms1Gw8iUcCI68RQeU9SGQZ+O2QtZbF4j6GIU6xwgiUZiwmiwww
rjVOCwM4bVGilLhZZMSSrJs2YqzuicMi4Sq7TvmPDz8RKnjFq7ssq1ahtBnQq39nwn2xczKXVXWR
D1O5ASfbSxM4L+ra9yGC7egD98Hkzj79iWVqxldYV3oGp2TQntgdU57tQo3ORlKjBYKqySl3skm/
pig6L/RsIiDctUchDVxHhomJaE262j38qN1ylAthWo2I5jC/jmIDqfFkCOPeIJWPh7Rdz30A/NXe
ljqpmdg+ZJTvRQLdKgsx7tdINVBkZ3ytWhWE8qi2z4VDjvgFVn/D2s+nUMnBT3PI9Ddv00+pqME6
tHPK9OY212ROwIdV7HNCm358hE1AieOmRRIQI4IMy5kkAqbmEmcLdn1KaZdXqiTUnDK7tLihMulA
ipOCw1X1Oq3Jb2KuuEJMD9wL9TmtIZ1pfU1rxVcWkQxOXfrqc+H248bQxV688zJmBHkq90Yvb3MX
D8cixwYmtsQdjmCYJ7e7RbO1EITHBhlBo9OLDvDst57KL4NI+WNVEZySljlnbtHf1qSeYKKfn4wO
5Su2cmhQA/MwavV9owe3yJnBKs0r3S3aEFfesEW4ECzzM9cZzyoQVK/d0pGJg4sD9K7BatiHodJh
TkFuxrX27EMxuQhNnMPSQHuKbdy33gNsiQeZt9ZuaGFxdV5zzJZpmtIDBhrhrM11ibTEOBhJhMt0
lfiOoNrMmfWcqYFmpdQ1WsI8Rq+DsxQ9RYt1cUx4U3T6Q4vyhb9jyaxy8opwBRCKwV6d7uqQKZo5
EqdkpQAyqKii8M8gJHWxuiNmYTGLpIxcJSYBqQpUXYYtY0h/4g3Zmxd0OJU170jTjhH4CrriVBL9
jalSwkG3x7yHrmLjvgIMT13kIhiwlJ8XpqWfrabt2kx7W94gcrBiVGxlqxi7VeK0NyXasVkfWG3r
N1V7LvOD0KYSqZ1oo+pzvDueU6BrRDLUvgSwbpOEtl5o5SVutIp8W+8pm6z7WuvuYg8WNGGx6UbF
u+pRDKkW/FZFYa0CvUI4k9w7WCdDkGcu2Ts36WRiHY1vusFMx/Q4HZ3k8kRObMJD4AcNps9rEgJ/
M9yCzy+VCAzvcq6Q+8cfMKEe3Di4dEqKGispUqhbHJoNTre0iBovQRbCnT9Ev7XorkRzzrT6RbfC
n0qblZt8ui+R72xGr6Qml/NVFhxrOCVYrgmPGIqhfMjAW1l9kLqMWHRp0ZdRcA5VlcqGjWWZ9znL
+vNQTsEHHoU/holYQD23nSEeXT8nArH6g6Mupt4MQHImv+h69WM6Nb8HJqeWOsaR+rfC+HuTBNgW
lhpGpElB95HPJYFXTXXMLcwbO9fWaTQOUuPRCULb2Wia3Aic4tZJX9t7h8w1VCzJzzIR8WE6RBo+
0B6DwI0N6L58WRMT3sPGs5/6v/wxuGcGtVX1khj6rT74GHSpUdUiHSqjz8KxUUj2KXmr8zlVDfvf
tSziQssy+QzG9JcfiT+FcGum0RVK6r7YhF6I7bqxm3DC3kMSZzls0U0QEz3iWIxYa4/jFg2O0ty1
GpTGofZ2SrSi+nHVkjgT7TU1GW+Ch2kNf2YqSURf9PWJ9StOiWDWlMJj6Y8qwa5NaDLiGYzzvCG4
LcKpRYFhqJuqJqKlMKEmIadeBnDL3NpUVbPXIkrpJOobDBXglUZIfin8cjVntmWRri0e1JRB5KEf
DWT2qfgLACz6HB2d4yqE/YW3CVRa1XXYpr+O253Uj41Luqyq7AdDs9E+P5J/1s/dPi9xnjLgnhzj
1oCM5fqgOHF2iidRsLW89PgwicE5J3Z0NGzTwckPH5zEdenHIP4j0tXuh9l96jDmx14bPZfWkdTe
Wt+TWmVTelDZYR6pNRDP6dfQk7mEcjHKsMddpcIW9Nj1tjaWhx1XcVHE6gRPbvIiIAAJur5BqB0u
OwxF6PaWQ7ATVlwZ1h+2IKBMPdzaiKfzWLC7siKRy6OClVHtewxo9ZbiIJX2tg6nqzEZEDBQXfRz
UBytSvdIZUFIhFgDU1V6ZhkdbAeXPr/bIPXUiocF4FyaXJPQgcryLr2WgrMzfW/y8sPqtF1Uzvet
5EFdVLehB17p1GO/s776YLwFmvI8txGoxWNhHxNdolt0f5fIIHZd7l2qAgLt5DHIrzB7P5bhl10K
Zg8EzWYRXjrKpmPqtekOH6cscvR1LgeEJWriQwovmr/WLy7Mpk8e/rsw0dMf8sF+SnxJd46X8tDh
ap5l1ySGJeRTNZVKYrholhfliZjrIyvaLbDrjwVymyb2Or+bPshUvST6/Ei8W7KCCs9gLEgVS6HY
1EHysYytlpFzJPovL5wfRnjbsvRuXT2+2lmx9VL3JkPsx0tn76v+tWdUAWsMzZbydQgjrdzmSuWl
4Ga3RizLwS/9pKbj1yA1TK9EmTLyiUsI5+Tltux3y86XVA321aDHoJmY5vxL35Ra086u27NfmFCX
0hc74qOUCZlRPRw6FRGpyru6Y3leHrlcITILqKGAon748lwCM0rIu/tses1seneVlWwl19jRfxc9
z6Wmid3gckmCHLcDNTn2PbiuegDtQ23J+EZ/aQkGs4om8BeSNhq5ghLlKk1UP2uXUHOwvmLNXq4h
VAuw+oShcwOY31TNsffAJlrvBtDEzqJqpJLQDHAt5HLwr4/jiHWVAuM1Xfsz2MN7F8pHxmEADniA
bnCldnk8KgYYy92gNXG1XZ6LZYagAbAA+fCCzCf3k+49qZoZ0ma6WZCLBcDqnF+h3z0vWiJiEwml
gNTozEm7GbEvY5A4v4pRg9IQil1BPczskWO1lcsvwcNroEZePuVxImUEnhKui3+HmB1VwTJUHedL
pG7Iqqd3VrV0b+GnQA961JriircgzwgLr5Gx+BIZhYRKg/EA25tCaDxYasfzoXwi5c6uqh6zSiya
sa5RekG8IdTsS1VaBqXncpYTYb9J6k5/ZOCzSLyMF292Sc9JdXDJVmMXI22DascI+/NkRz8K64sF
/JS5vq+GZL+8FrmF826uQFKTpr7R+P8UGpLoUfNOPld+vQiLc7WOs+oztttnbbxfZkAjrJNl3jxG
BoRTg2aeKwj/jLQBqj0Q3GqXoD2sZTfvFIQJ1QzMy+ey5M0VefN7S3M718EL0gcWBGYZMOrNuzQT
78szVBuG3BHWiWAF2/qoJE+sQ2GiPGqUJM4dS25/P7ouQlpfCfCVmtfTfmcMKVAxBXu0JZQZ6sn0
h+yTwRGRNsNfd4MeQNuYxm1KoTQmpjoZrwvEMeeYElTu8yRe+j8OaVar0WbvCb17dDmfBS01Aa08
Fi0gb13g4O0Vn3Eur3EwIbeMyM6iubE98qXhHi/6Sc2nujWJMlnlbXGZlJlA7qXFrhr3uMvmpU3f
oG7WCc/NdaemU6psASOLN1Pb7RZVoarnYmWFgBX2tVMKxIU24lhEnirH7oosoi30KdSa2sHySJdE
FbQt4pCxccJdqx4sYJ+TM9qPZgRepmuT3BFXsZGVfSD48mchDECxBzMtiNq0MK39bBqNKE0atXju
KVAi9xMtzEGdMla6dz3ArI4xaay0tXabX4VHdazAb7XqJVW/he1f0BxF1kqO2W81g5Q9NeSi4Gb/
eI1UPkVVcl/7KdJgHa2PqtMrRr89OtE5dI743hITpT6CGHD/DYp5VZdkjTnieUEwCnVvjn54W3wt
UmTW7JGwf7voUOIJkBI5tU4d8zOYaJcynqu4ZJ7uR/PTqAGc1SSF8H28BWhDKhO9atRqLmRgNC12
C52VsB4ia+qnKXNrOl6av57LEpDGORIbMGgIibktlmIFJdS1KHx0tOJHnVH1bsJq6MiUoqM19b8z
aeUwCHpWrRyMUwsmyLNDBv0y5tdpTI1N0eS/+wxHUCqnOaVEo7bdZUmMqrjg3gFWedUNxjAhGlGs
gCUJ7W91jwDXY9DhqkLCMW0D/475vKwZrdKlJwmEphT95Aodyzlsxh1jcQLYfBo9wPS/sngqm7HH
c7b1meUaOCw1LmPScsTFnWojRVJBt4sJvnK+YEwEvKMUDnnT/dEBPDRsTNYqqLHJf6COMtwNvWNv
kCWrOjBbCW4dEg7gkuFTiLUXbIzh202SvbrdlzWRDGDerk92Cx7i6qj+Mw9IiRJsKTN14UPld779
EgmEsny0Mbb0/SI8gWmS5qe5GzUDXywL/NjZ0UfdL1YFhhLFi4kpb4kL45hTQy7Pj7A8BByMeUny
yC1lxIi7Y3CzPfBQImjvR5mGZL03sPi8l6luK2jcL8swYZljaO0UwQQynxdzjCabYNumOKwrPdCQ
soz6gaCHtryTUNlUgjtnZrMhRDratbfZZutOU5RZud8j1/iZyOklOALpae04zwIEfFVo82HsuAeK
go1dDwZjR1RNr2xecq+803pCrYApf/nyz6JSD+sUeknAOceXcatMJnFnvwiUur4/sBXM6LoCadZr
RQzo6IiIr6vWBDcyVgoZQwrWISus2a7jDlCBVN0eHK3YKPRd95g+DgoKltX/sncezZEzUXb9K4rZ
YwSfwIRGi/KWxSp6bhBkkw3vkXC/XifrmwmZjUJ7bRjRwW52ESbz5Xv3nvvasSSrzkpOYBdP467m
ZCR8RH+Ih//eD9Dd3D5Zlnzth9FemtyflFyc7Z2EFjAu0ZjaDtJajcNIPE+N+HbggCHc9DetiGvO
dEpAMidsoaS+qlGPuuwDrvwXVEx8EDr4hWHWWeuQbJkCcYaGSSeu13aFkGvI3GMc6BOSOvuaK8UH
sPGHuoH6Opmxit+Mudno4HIlnqpCineHt5Lm7LpnawknF8jqTPcNALax0v1gdZdcdJBiF65D0BFF
yrL2WY+D+VdQ2KLNwfVSCMKX/5m6zvl7XuPGcBooQI3g542Js+INRdiVuuu7eChy0dKRy8sqE7Ao
2Vn2PjrWXcXQGv1X0rVLSYr0UjSfhAVl3EqKY7WTq5nYnbwTuwxAaocfqtnaX83W1/cGCrca1qn1
doerxGCEtbJ/UvsmgZFAoi15hFCFjVwd4ROmQ8LgNW/D7E8p3+5L6H09K5LP2OVQYFVoKe03Ypa2
QUx/wO0Jqxqb5iyYvW445n9qQJGNvLpG9W/vya+qZq7uJdyzzKRki1HVLUeBAdNKT62txEksNHdU
CMV4tYDmR//1U53uitDfefGw6BHqWIVLkyfc1vPJ7COFByBORqBf3tiVf9S0YJsb6fcdypFrrHC5
ak3jIYB4TcsyDLxnv6MCCywqMI/lXHW/BFCAu6ZjmKPD4MXvKA5p7o2Le5uzYtSzxE+49XsR7+5g
qLvSayDzKWQfuAsH1PAvVbEoXpj+InmiMgpksLDr9PcOFnJcdhS/JLYkst6IKP5N2uxFAYzUtklg
HCaNsvnxyvaMiPLnPq5D7bed2upt9qiDoO6QMEhXIpZ0OZVmqO9QW7ZMdiP18gGvfsaiub8PgA3B
xI4GDRJL/xEW4CVA7ke2HB/BCdG8d8GTOj6NI+V9CZCJkSTNvF4oghXVYa4kftLOSdLwTXjA2u+9
OWy6yk489rSngLC64M1Kh/tutCjhiblBY63gOn2ITob5HKYiuYG4z0lePaQMRvul07vgfA2i1RL3
JiPUs+rq83Aj4mIAmXfViTbhSWmVcC/s7rXf/exWatD3g/XsMdPMXLJM8H3i/2oQPiLMtgA0IdGN
t6NNcFrivhkmSzJq0+9ISWojo1n7rcmIlDrEarybx5n2EPfVW2d49YrxztJ3uwe0ZgjhFUpMndJG
hUTC72cv7PhD9Xx7+LVrmljzRrXXy/a5JXP+HyFrp0hj9zGqlOaPYxfFSjo/mTPiKFQ4CXWyUd3R
mB2waOExWKPAlsiRLePbQtlnlRSEoKd90nuXSernqJyRClicz2ynPkDrZBktxJd6IZIcaZqJr0ZV
0XcBXNpSaRH3/VFfkoYDRa5+0UhVAJ28aDu3yYt1MHpQQoz2eud3pTPbdext0M17nABN2H2MW9cu
0vAWqDTvcqBtignjtMnIallJjJum+6y643MpfsiI/VJEK3VmZPDxgqdlV2f1o2KKlLFzmml60ESm
Zhxtpqf+E9jSd1yE+DBZyVnuWFce81l/vrMPM/Xxfe006hp46BQPcatodJBE8m0AyrxsjzQxv+5d
FmNk5YjamYNo80Lm0IzxNEYGGFsrdQmnOSXMM+lvnhLzlGVgMUBBBMNRC0z8a6bfp+p3CaU6eN7f
3FnR9dQZ7N57okcBWxyul53/sVT/VF1lr5rPeeUdRMW4bnb/5EONTQaJrp7/nRTzSNg/AOOv6vYQ
qJJuIsabHIsZBrg8h9wNjSYTM5taUB9yT+36hoWPDZ0xnvq2SYlG+iUHW1VZqct8r4hVO/1+vh4F
L/2dVqT+9gQdDrU4JfP9BNiBV8B5nB4ntVCoHRzPUdpB3iPMFZFERWTJRFw9Dl6WQm3t5JyHOTV8
4kv+cFoWXq2Bqk+Ip1IBzarU9lT7HtblhThDFnru2axg0E3t3e47SY/KB9yRTinPfD+pqER4RD9c
gIX5DGE7CGG2sUTJc1rID7XW3Pd+h2A+C+HRGp2oPW0Uik0ixyGwM/4bwMFYOHp8NCrYhnFRvXfl
02Q5z3eClCp6XWv+zAr/iANP4Qdh0c9h+NY96G30UWnWT3UlQcMunVVD8Mu9qrhvNhqpicE0bZBE
eoEqVVX3wnxogSUs7L7fJ8WwxyZ1QaL/2g6kJuOufy6GW5QzScYS8VybpsUgMWHpSj/v9a1W2NpS
xR60zkvZ1MM/3TjDoBngODgbzdD6RwX5/4nG/xeiseVYLozf//rf/9uf8d/C33L11X39l9+ii5nI
fuWwkF/jJoyL+Ot/JRr/xz/6n0Rj03b5OaZjewCKlYB0+G27f/8XzbP+1RXCFvRvHQe9oIU0q0Ay
Ev37v1jAjh3HNnR0W65rGjpCw/9EGrv/yk+zPJReAI9N03X/X5DG5v1/+d80iyjXlbiVn8nH0HXv
/4Aae71bos0PjV0313Sr8ZbaaZGsxcnpYoYWIewCXxZbUdOtm8WxG5ap3RtbF3sc9b4KO7m7vwdj
Qq4pHkqFTjfHYUcoQHUoqybd9am59qmND3mlvbRkYky99jIbslk4UkIFImHQYm4mQaRnbo/mZbwR
rb4IpXeo9fbJNV9mr4UHUeQkp5fnzHDlWkQP6V8Cit+qYHwPRKVvLOUVnMLxc2gf41cmrkRHDMc5
RsMhzOqTvIvvkTDwg8LthJV7i0335LVU0p5L8rS2n/7GxJLbwg02IR4VmjaiJ6TdY7yXmuIw6GG5
DE0gVoHKsi2EianHtnaeosY4DF9pzo3IuuFPzDY6C1fEmGqqeSI8al5pRfFX5PTAcv5x3fhQ2IAG
rCZZfyUjkqU+TW6sAJn/Yzl0QuP+jLKZWEfLJ1uD8X3Wut2B23eLAzK0QsusD7H6kpO9oVRjujPm
6yavwjWhJhIYCOtOGeEeNPWCaCIzxZiswQZajf7BtQW8tqaw3xMiczZzgll0Br+Vxnx+06JF0/DY
vwRR/c5yJmkxHxnM/B19fLJV7B4zqEO7nLriYKIbcko7fjRl2ywdsAnH3mEWbkR9uCn8cEf2VXzB
+flTAT7YRiPO2SgO/FcEwcbrNBv7iqmASeLPwhxyYzcNQYK6hurATl1j5yVXAvHIMfOHTe1F9qUH
1b+HrkXOkaK4p/7jNEQ9+Bo6MbMF67gqXqqJK+WHyhTMOZH7ER573JoGJyMorqNn7JtR49/12RaI
vB1NcFRC41MGBJAFDVlheWu+OooqxFEfltTY+PvR3YGSLZce/CyMviHWsuzXGXzi7YztEJY/s6eB
cQiQHZjpsNZhXC4Ib0hodx9gezDDtbYF44PGGJoDuy3ergjqCH2PeG6dVc6vtQBqcSsNw9qkYU9u
aw5kD0kneDK73I9TdEwb6pSe/siydPOniibxBiLT9ziawzoxgSn5sj9hSEi3cNB71VNDrkn9REIN
jKL7lwZe9GrW2C7NoqgOGv3jFRs5WVNKDNKpL7bUGAAlDnGf8HjG7CNu/A9bx5fdOBrQQCji3Z/U
87ZhR6uaFKhu1VJe0TwdaQc0+kyiRPY3jxP5zyNLosaJ5SXmQpc/mcjfGtK5NoAF0ApTpdQqc7Yk
rGYIMMso6cr9C83RfTzNw9Zpp/rQ4rM+pAttJqJ3ZBS9EhqjJpB62iLtPZJJK4gi6sJoeX1O8uYl
TVCtNyOtiRSl1531Hyj8f5CHICeLhnYOIuVjqbfXhsPGdk7cB89NCLBInYe6drSt61O2VcmjqDE5
tk7EwIVxSheGw2GwyuFg2oQqwurcd6W/6WjM7Un7uEQJ4VP060zcdyinKGD1dTY066bVyp2QWsOU
3q6xWDXyQKltwSLVL3U9JEgjQrC4Mtr98zlj5wm8CeGeJbabAivPwir7bVATUEm22JcXtYDQ+Ev3
cIUmT6fdAI1w/tFTfzyY6kswc2QfbunQdctBMtrEBlIobQ8E+YcqFFxa2HlpmeR7NKxgjMS0M9SD
UmuQJ/KgxYcsVVhwE26FZtLALr6GnMauRFCEorxaSJaCZVO035MwSREuxUThTLZVb9RXx2ClwaIG
Bz9OxUFYKdFdJl7RzPNOIFIRVObavO32tD2bR4an1oPHhDHLxHw0sJHy8G68sRGHuQqfm2gstpmP
SJWMXsGKAOpymIxDrbJno5ab4aQ/5jSEa9dlZnaPietaWHi1qxPByQRebUQk1BCDnlS0NoqBCJj0
CTNoQBhweuUk1zyMQKtuje9vQwNiBEFXrFt1+3H/UwjAZyMsNGpW9zYUpnE2jdZ+mJ24Ib1HC7el
kRo7KUPqTqLKbwSpRavQx8lqpoaN4sn87froAOuiuabA7WwMLr3Xka0YlQ9Rw6GBoFm0EkPTroLa
t964tMhzpu44kUN7KvKOHJK0O8sotgiqMeWi8auqYtekiHQDIzQX9gBNISS815tMaDEqbztNSfUR
YwDCxyZlWM+0YNdaaM/u5Cse/HbjtyQJtTNxiGH0bQezcyxrUuampjLW0SgfCXfxWPIB8BBDiZ6V
d+pcjuF3FSQep6t02KXQHxynFAcTfNvBjeJTg2QD+OpQrooxfWs7Wz/h1nMAaBXWqexoNci5pbfu
2TFMKI0Q5SxgHs50C09R8oqQDR+4xSyXYHUJQCOrV0Stege/jt5cJy8I3eH8UcVBt06rAQn25CGI
LOmKj8T6PjnTCjx1ewHXcIk45TDm091t2tESARSCwNAAE5eD97PYRTqlOyRU+TjEttwb4NLjwdB3
AxUZ64QkS8ozML9ofQkqKczOOj9rdf8G8DAGr5XcsigNxOCkBKCgdGQi8VTQI9oy/b1JjVFonFBL
kkZenKuGP8V6ckMrGW8CJXsKLdS61mvQpcEnkImBTmZakY647Pskfeqt+WAIu2eaNoMRGY3u4Im4
+8JNl+mDdoB7kq+tNgu2wJWIdc4zuR0RzG/0Jjl2va3FrEMuKESaTUJoj8lQ+ld78JD793Vz5FzL
cGAp+5bpv8CzUk7cVaLzKOMMfzd43XPpSfBAeSp5rLIvTfo3dCv5JQWfKZ2+hhcoJqYFJ+kzaIud
wITLNp5F17urqPGBqcFewvpAzye9yNEK957dh8jQ+Uu4SSEFBMOHnJmWEZm5LczaXwOyXRY4uYqg
p9mWEfASuSeq0+6mTSDkXUN77+OcZj+hVi95aJ8zWvVhmjSnQGlG2IXmo948RXOjAXQdsgeoyTp2
ZKM8mq395OgKsZQ32iXSCRgl/Bnkxydq9vCRIoIUD9g8O2kTEpkk4GvSkEA9TciXXs2oZZOUB6ON
5QsMM2IKRhASUE5oB/O2TV5Zv+TG+yyNZhcO3B6aN3nUiLOBDnbBuI3bYQqbVGk6crvEmZ+6GGhj
l8Z0jfTSfIvNrWdJ9+h3c8FkYXROePuPBLiz+cqOuQJReAFBpYcK4uiyx9Kykfh6eDH4CJYWVcAR
Yus09JGzC0b/BC3WVmRg66Xm+UJK4UzryA2/Gg4jlzi5Ax4rZ5eETCxba8BBW2Lwo/PgXce+ufjJ
dO0xCzzPEWbKWlicpgUmHsL3cE5B252SjVkl4qWxzE+WPg7qcfcSj90G8g8TxIgnjiosh7SOugYw
TnYSdf4nSUoIcxpmvzmRznu6gTH2SZJlT9ItWqSp1SNmNzB/jH+aUdbNn7BEs+CLtVa2CeF1kbtx
4qrbUjc3W0LVapAioY3C1elQpwIgNkLEOXNqwV5qJ9JEKn5cWrTBleHsW9dGdABDUb3oJi3jnBSr
HwcPDx0576WZ8VXn6VIbRfNSJEazzEdys9k5q48WnAy0XC080iEEfiNcc4VN/1vkTX8IJ3jeGMWh
pLT1CwIirzKi72RoVM7dCpFP+WCXpksiGQGcRiyVZdcV7B7VvBg7DjqJK1+jPNX3gVUQC+BUcHRn
feuy2rFMNSYat3Y+x/K3zfHITIOgeCL6yOpSCuLe5enguqKaQKeaUyQHzdsUGM3JDkOOclLrN71G
+LCTw1bWOvIAk8jFx86oNQTOyQGPYN8oD45x5jrXaQKcYXnNKcXHu0iQYGxTUY8PpZ988VOCY1G7
pH+I0vnq/dC8WFHfrmNkMVvOfYxmR+O942xYz+EtHJmzzn1BpymPlFAP5SJ6bUrH0F5XnZgIb0YN
oBVtuPShO6x0ZPubjKHt1sm6v1jPo6c0ZVZjEXRRNDhMcoviUA+slc3rv59n6+wZUbfJlRCpdRg1
D3EAdTe4ghRyeHO0v4wzk72r7SUjnDCRPmHzabNru5IpmN1hasFWQVLxYO88DEBV0GpnU5uIbit3
LYv9RSRg6RNFBirowB6xmtCn5IrGuqudqb4uYRpxMjJp4DZeu2eTqA/kDcf7wnG+0SMbmzZx8f/7
FeqSsBXbuB8YH8u8PI+Ze41l9zz4hH1S/nrrEe0kp+DwVNVImToTtkDFtCVvGEK0Mz9Z1NZfJxAS
AqTerHy7SC4sN9QbldHeMOlADYgi5p9J569ZJTuoBklwQCIApTgkdkKjwli5QfgwMuB7IH5GhxKX
+m2zy2liLIDL42BQvv9uEtcYaN5uHAvEmT3sNeESbmf3aXYys/PsqJC+GQknDdNoDw3pfbKibd6I
7KUI9Itmk6p3h6DNNTgDfOg2AqeI8MV9wjB91QEaXpVDUa8dZskL0egm9P3yqIU9r/rAlj/k6cmf
7ego05mLHBCamaTyStodhSsIg0KZoavud5Z2fezNlE9fuF9wWxBeYQFZiaLTDxqC8cXgDf6eATHY
MNC54JXlNQXlZYAvW2aVShDE1LkwSjvbakk4rDHXRrs8o9+aJgAuAsdaeVU/7hwCidAVoj2Ieo9g
vJJEQtfrDtXs/ekmvzw6EwIapMzE3ALVol1HGHMwXFAvYDSc/aufJRKWZ/qs5TfHktGT64XxubaN
R12DkwKc86Y1KF0ZEuAYJF31POb9KU8o9CJbnBAZ+JfIqctF0ROyTcTS1Nk2ff4fveymI/hNJnkJ
ODZaige9fBokbpO051uBSZyIm4X7XMvivWcCK67N8Mg0wd1MrRWAqANUKdDWjnP12eUtTxDWgUZE
Hz1KxSatN2NE31KRpwxcmw8mKZQEDzf5xnfSBiovOy5xnYxYxnzcdZNeoquT11HQLudEqe9CL962
ttsyvBEAIhqgNYVtHvvS644JHXSjNCgQPeTJzO/XISk4iAD8dkVMICph3YkB0eTVprOyXSt85NJO
8slWzcABZe7BBROuR6HcRy3pxJwC94btvjAlhisJqwL8SYGlSNfMgwtzdTmOJZVLnWWb0bfIoG4F
Y5g0esWtR1mT8T6ZXO8NW8Ci+ibHeLyOs5Mv577/Mcb+OSrJooenvLOG2iFY3P6tdf/XyUaMp0b+
hyZ8syc2deNXiXvmMFzQWmcKWzeu+WrZexyk/ovpF18pBIUdviKKV/zrG0/SUnHrc1eg0LAR5hwl
qJAFMvPqKzLaJ67EO5qWYY//hVIwugKeKVu2H1oJ2XvUPdRmMb0hwXD2vHPWaqrt/JZbHgbBcFI4
slPfy1c0FNnasH22g6i8OLziDC4HRpSNUaznzvOuJViM1odwC0rzD19Wc5UimanEU5RYKwFiSCEX
1kI0PPH90C4bM1qNlEuXOG5Jwe3JaQxpO7lau01trug00DYkLOfDFThNQHOH6wiyViiS+VZo8dPY
U3oyWID98D61Sc/xHa9oY5BmodESotHWLrWiQki/YQA3bELUMUSzYhDrGH/hKCwB8PTdMqe5sgrg
GwPUBsvAbSJ2gGwNkk6+6jkv148QyN5ISGS9GUu2Qvw9OwlTl1s+PUBysDHgTM4jYRM9ID82Slcy
mSBi5ejqAvyX5lGROeOqbqr4w8RTzoEq+8yncG0Lxq/MsaJz7ltYagTZByr3EMshMtOmoRPTjrK9
GDr9F49fi1ls8OOkZbacGxcpfzPRSdXyZN8n3bXwZuuxVTi42iNpYSQfnYl/C0I34Zd2Y01fQcYg
rRH2ya7hkSNMhswFezFY1S/Z3jCjSKlCA9UjIvWjR0wUAwKEpmP3J7ZD92Pn7LsIdsQkxbrzzK9s
9pmwhOesAOM5saFLh1WZ2ERenbx8MNPgFGd6eUy8YttaMn92kGdYuhtvpLSf4sErF3VnHptYrnvf
eS7rOVjlh5Ehu1tHt159idzisxZdfnVyHlBOfZj6wXWMHUo4n72xNS7kmwp5aBOk5ySGTOi702U/
hWezRaKOGh8LADp1poTQUBBlm66P/aSpGAZrPGFlFX/jaF06fv1mSPuhltPXGJufTSi3TYA+bWyK
SzNYclXNrFh+t4qy3nrhKvcNbZKLY1YfY0BYGwg56L1XYsEt6hzYCwWYOWdGOgl2zmGMBoSuAUZX
AaVzzcFaQHCg+xy67V87dhH/ltHaUzS7THHtCgB3I6C7FOCdBHxH2xroiGLhQfFY8R6/hMN0LoDl
RYqaR7bGS5EBl8aQHdG6rUbsIhGvnPywJqh7vXMWyjBSKh5fZkHm6xWjbwTWN5gU1mFVvjn0RhTN
zwHrV4P3gxOHrUIR/yrQf2b8GCkSYJW980x+2ngd6T8ytwNp89FFdrw1wQj64ARTxRVMAQxWcE7g
V4vlwAaglFxaC4sQaqzNxNO4wRoCjwqv0FXkwjQTdIy4rOhVr6l2E4px6AzQDmm+IbCDf5gpEmKh
mIhNbm5tRUkMveQFutbezDIVizNyyCy1eWVzIUnCGdfIR0ES0bMsG26fXiQfxKEibrWRZMw93OaB
X7bL57+4m05pOENmY58E7OhVJ/LjDEV7LBX3USgCJP3Lb+mN3wLDBNpwFHqKFjmBjWwUP9Iw1q0C
xQlFlqzpJjdj/euCnCS8YMYmClepzB5kApUyHO0jNYMJrFIoaKXtALnLITbPZJCHygetCJeAhR9L
xbzsFf2yB4PpKR7mDBgzAJApFCkTEWywMYBnToxDDJHubP9QD326LmmzcJiOia+Du9ni4a2qP6Gg
kJtjInHrvjgb4ugTVa5nuQaPqfOB+aBeHOLv0B7afeoNS/p3j4k+wSiq0S/UcYKDljXKE9bJ5VuW
SyhBEJVQFKv2N6id4TI3ieJT/cHR2L9TqcDyF8XZiQWAxeFVUHNjFg8jGt5UdqXFpW3Ig14Mlaw/
IToSWK6J9NJNtBxqbfZIp/KZteNe7Rw63hOefXXjkHQgxx7n0gQYbKvwNY8AI9t8CLGNnwrmHRqK
LSI0D26/F7VEsWJpCfQAIvFMeZCzYmWq7oJjoenUknild/nEQjUGmxmnIWN/o184vXyJ/BG2fNU+
+kLQtDGzUwcPDII8loOypzLLOh4Exhv1s0NJOxKjsOwLTrMl/wZTkLFMW3B1ccTps7DxTrVz85G4
iEqnsScQ0Jkt/L5tuxyDmitHywvs+ih3WjqDWMy7s2c5J7+orlR3MGAftTnwV6Y21Fvwb0rBAoSs
9j1oaVG9byMOnmNfPAAevbljx2RASeQ4e66K1r66AxjBMn/WZyJ8cx9BKqIVLMmDp61NEgSJF9Me
IXcZLQuvic5fyvIyD9lt1juUlwS5L5OHvMkRnBPniefYi45tEmGZC909mb+fgal/S7MaePI5JHGO
+Wa5Mbqg3Gp45hZW+x0OBozu6Bz3Um3q5EeK0EEV1A7gzdo6xApiNRvfjcgE4flLshAIl57By6M+
8GTrb+zhLSLlcJUBie7xHu+tgcyXDj3PHk/5wmyCv0E8/51S27462MXIIBkJI+EkGadsCqprZcND
IfFMybIwza6cRnsW9edIsOTSmcP3yAnpupMeU49XgzS7dWuaX24TOgDLtMcibffdWCaHTDe6la2w
TEFtPfhm9c0TkaNxIMW+OtsaRGJPN9JzoYIQGSyRKTB3LwOBMphG5u5kZRVpI/5q6DzY8nGNZ65s
XhO/u7l1ibS3ZiiXd5hsHYsK3SUlNyP8hc78K2JuWgBzDWoinsxNjwHuhPMdcpZ4IaTeQGhbdmtX
L9tdE5tHi3QB9rpia2n+t1/mw3umI2Lv+41FP2A31YXcYHwydrBiIpamNtjVe9QwHHOGjZmKN6vO
nwU9ZzyB7fg2oCMZlYMxiLdEfZH5BUmomqMXo8eIkhhaumuwC2xiVAWfBgFsLozfi8jDHWPJBTcC
32MT7YiW6SkrzwmM80mjBzvDD6EHryKmmtOc6/vKoMLzkU3mgSXXYPiUfxpekmHeNNZIzofGM9RG
9qOqOISBe5giyPdoYBok6fQSbP6nCoz1shrLX/xpEuf1z0BGG/gPO1rhwylpkVL61/lF1lyxbkIf
ZzK/mygLmSXtZGmGSxW+ovcz2L2g0pjeyFtn6p8TH24TkPeKsnP4ydEKHbRcn65uJ659y7pVj/XG
bhw2MVeqYcjQPGQGCd3TEf+uvILbQDfVHALYs5sm3buMXnc2ieq01OeVO5jbkNkbDgzSzJ222lRJ
jxV2kG9+k+A8N1/btp+IyBPP/Vy+oJt6chOxjqt2F6buLsyHnLAJncSFXksfE8rCg6P7T2HV60fP
pi8Xuf2Dw7JaErpxYfblVmf0z3DdOjZZXcR7EQFAnEyO0ugRivcCPU5lsHinrfc45vUjpXa9GiJr
72n4JrRUT7cx8KdlrgJpLPOU0zWBnqLj5Q8pgGv2LTYaklorqgvUUpYLzqVzJrjfTcdynsvVoNMr
d6oHrxgugwqsYWOdqhE7f31FWkZdaNfv8k+cg+4vZvfT8R1YhzpiY11mT5PpcN1Ql9uc02G+AImS
tCG9khaF4TLGntfpgFagJpvj4M15scgTrEfOZF4bA6tSEYcgslKmFKQdexq3p925gf+c2qM8+4wY
8kbqmyEI6Dtk1cFL8RRIiz0h8aNDKxj7J/UKRhDW5ch+CXHSs6mxZqTWMRGUXvp0mjUmonWCg5RK
bsUQMtt2Bktd5KhDh58252mTs6xfu06t7XE0b/WxPuN7blbGZLI6MQVgfEANz4MZdd9JZRgrgR2w
VE7n2WCFVmlED4P/3YMdWcMkenZLHpTQQl3Xc6i0U/M3myhjU3zai0hzIfv9lYn1O8zNqULfux4z
XEleWIT8MjT1PESAuGfGRT0Y4ipCsQczjt+UDq1fv9Jfy0G1dq+iMmBnOM4l5lTKrCW3Lj6cEGsI
flKBX92GT7WvNaGE0umXzNNyXTs3MOIMfYfgxZu92xg0pBKHunmqvHFvuoPNybin99mUf2aZcHSY
03DXk/SNVqvbVoPF3aDcbX09Wsdy/OoNF0l/la8q8TUKSb89+/KNaYeSEGJkhPlZlPq46qVVI0hG
sSukYUEOjp0VoUMPfQ6Hxmxnpg0XAlOuXMGNGwSPTmTW2z7tdr0MVnDkOrStpGTz/BJsMnWPWqgm
V443UVRXS4kTj3HYsDdm8vymUmyFJ3+19K1Gng1ytdpgB3+Y05Fkg7lcoflg5mJd6f2+I/hqA8Hh
ksQRb4y1lZ+5/K/OY+F10fs4N8Pa7SEtd1nDoJpTPdwNPVzmzrjp4uohGecfrVS2zWn44RdyFrol
tW3U3Eq9uPnXeQ6HFwZeG8f1qrPbOQ8OI8QpdcDb2BxonSC4pTkw1YJTrxrtQT5C+2+m9ZbH5+zW
zYVpbb2CoHQz4vDs1RokDWusliC+Dl2EEiZPkrUZ+9lexu0bHpY1c45hiwIYbzA1CZNWYlB6GthR
wXw+gvlbBjOgR0EjI0NRPImQg//oAlxhdS2zdm24tbemB7RIBPryroaaqJFTMU1mfenL6J2Rn7uO
488y9TVkNuJClPq1NswTBP+bVGp+OnRnJ0TGYJj0gmQePvvjnzwP4yVuMXQZaH2NjBOgq5NAYvku
dGhDoYfZjjAiy86q3kkVdI5K20TtmlEWtUO/LvuAEPKp2UieiG2j63Jl1bJaRWIwtqOXca6J3GAl
xEC+BkafIILPS9MEs6kbp6cgmt5brzuXxZAd61wCFMNYlRFOBLNyBy6FWPNxRIKSlUcDVv1GxpgV
DcN+kLnP3ID503JMyLOIyN+TEYcnIFuwxRmuBO5+DNAlpRM7i0eYzDDCIqiKL/XdeBjPdiMuteYf
OXitae3hC3pN+OSuNRK/QEdicDe2jTgnGq5j177qjDbnSHsuu344ZZX5rO+w4rCTN2cD4t+qTTHs
SlIqkta9+XE+PgeZtjbwmAO5LpJNXUeb0MshRoVlvapCTDduH9KZ7QxMygkfUEzVeZYMAlQJbIr7
LC9ecTSfLr0bMRQLv2oO10trksS1xatMEqjQjf3TaFAkhT5+AVtH2G7oboaxz2kAOyV4lG0kTW0a
NpDeW3XbdHtNOoq2pqkyP6ahPIuBpmgQY2gxzScH2ceanni9KoPiHERtxLzINPYxZRdGvoWJVKPo
EUgNaQkcN/XZUiaOHhnC/mA8ptwTuPHDBpt7frKK4WuYGDs7Ns2Y1hvLfe+Ve3rfq5QsHcvyq42t
1YDLMQ+2ZOyAM9ppsABXMVEo6/AjSMc3SeYkilW0m3g+/aXbEFolXXa5Y1h452hC+6ljXdyqt5aw
TjI0+lEv8EgFl65wvvSW2+DE2mJWh4apppndOJuyByoy6b27b7BCNfLBNU5Ro+d7aFRfo5Eq/zb8
gtROGzBe4QUqXosQNfu1pznZ2Pr4gyrX7jmqWUnvbzE+xwzyekkUwa5CJAXyaQrWiZHtEoYwfQnP
syuLZSyyAFOQNayFq6M6mpZMJsVNt51tTMW1ggCAvb8kwk73iM2Yne6CmDHem0FM8e2RINxcCou+
GG/+E8wmWjdRsbO67igtb9tmDBX6kaxazh/26n+wdya7bWTbmn6Vi5rHQTR7RzOoCXuRIkVRMq3M
SYBSWtH3fTx9fVuZt+CUXTZqfg9wDNtpiRRjN2v9628K4mHWccE7c0wtgcUzP8U4V2zt6ks359MK
WfWCmzcG6G2OejN9wWrrSwxHfTPF7RZCwap3AI3SfiI2w7l5hRnu+ldSY14mpg9YskLfGSLjkmax
vZYTuIgX2a+hmxqrKKqKdVdU75CJRk0Nb/MRrjdRQ2TssdSLjDReLtn4aLrYaBnM6oIGZ3JvvsMb
dZ0zXqbSymd5S+JxWmtcEnh45jnmtKMA/sqPODLSXrKffCjiLwnBR2Ue/5WjcqqHwDlYNlMnjyJw
5LpqwEHX9MR3JNxM16k6NvXU/ylDibtCokOzJIgj9fh9Py9HWRwrPUH06dMLeE+5h9arM5t7sy32
fq1ETEGBwD6waD69EXsatJ27omM5UXbVC7zwilutIcwoEPFhoWfcaZFHVtJ77MbioL/l9KcrvdPk
nSwhbtqZGS4jKAgcAnC5EnPGZVLW9yG2iQSMvEejH6nB57OBAI/YB+elE902Inb5bOCldQadw7Q8
ABi2GAsz2psRrlM0gK/X65FcsuXYyxc9wiSf8a2OJwycdi6pQf6RGYTGpOYjthZRm5tfuSf4uWN7
xLMmQMKLEsRA6rwOHNhUSVQMa0FAVKpP26TguaLg9pGRdHRLOPMt4J3NizS2rm3/J2phOCB6nW6n
sXtkFZFGht++QxhTqtUUp44Caxk0NeU5wp1h7dbIWSr6u0VSR19RrBtam32px+yhBSfe5CqHimtm
HTLOWwa4/0cTlsdWVT3BjDpP/lQtvTSkOk0v+KAce9Rl5JcjrsZjCMEojJVkzNc2ijDNtBlHTTBi
W+wdGeBbuKFDuMp8lNdO/dbEKdNpJJK6vpeNlBwMmHuTJ/HYjwklZOkx7MZieSysjWyzYSmQ/y/N
QnUGokm3eeJRYGXjuvErhzt1lVZMeSiFPHLC5uOcQdfURYppulGxsJFcNJPckXEw32WhT7FqSsDl
jjO1h3C4RJn32nPh72e0sKmGPUwHLZ7WJ0fblWIT6/kPsFFUel447UANmjrbpSEKBVvFPWImt65s
z6Wwj3FUgfvitQ96w57APF7la0lGa36GVbX9moV9tU1My8E4oudc5uO2auAmk0Z9OTtaowIjQgjE
sXMiQ22DLyN5jfCpVpOLbdIUsgUnTxzzuLwrHA+RSm9zEkjt2FQZ4qq439BJj/ofdTgznZtHuLQX
2U39oXZqUn1Sg4CMnvo+m21kbTxjK53hZrlil0KMmQBwY1J/Ctkb+ArOy96O5Slse0iM4GhcqTRw
ObQ8lt0iHVmWZCavGQHRjRFNe5iZm01jfCmVYaTVYPzY3Ixa+4cPnKbKXjRqnFUTMQENBcXKVOJ7
WZKrsyoV5y/H/SsSKb4vsfFtnrJkjcAIqnKMF90ETlVN9nCnlUS1ZXV4gt9mbyBwx4ic9Po59cx0
k+LqiekT6+VjoNZDIMReLNnr+PglPemXDGWjDeFE4Z30WixCygrpZ1+Q7wc4N4ZXET05hjEzkfcv
VpdWmw+KZ14h+iS4cCfdkWAdgYf1B9mSm+BBzFDIPDfZ25bZb8G7xz077Aj0DLjSls+NCpfsJ5Ic
Q72BPjE84DFBupgPAL5o2kHfI9ECRveDu4+349sOmCR/XCXx01BjrcwMR6wyZ0Lb8sH+nhVrMOrb
C2B3tdFKu9hrZl0u9N7XV30/D/PSAtODjDArPbvsHju/nLaSImCKYXZUboE0Vm3NjKdqT2G0tA0P
SPwjpzQ35cbVqgcBIWBDNMVb6Ra7YWBz2JpE/BeidPWmpiKN5K++6Yl2wmHRNuzdEEcAk028nBMW
Inr/S8c9jIOSIpUS6t7tNSe/FXpGMrMb4nzUC281u8R4BD5eIzAxGNM4z7Pe4UqUweZcGnUgto4s
dl2YZetm1oiUajvGK/lja/hyNXS5g/bNPcJDjxmLmn/ms6fvmRfxSzUUd2i3yE8piMoKqGE8czYW
vkgovCQOGOYl0Ut3HYuakRi5rx+/VEm4Z8PhxUce7B6LyRcbLW9k6Ce7JRxyAtfugnEfR8ZmlDmz
OjgnAX+1hvD4ULvhl9m5WTjvwuqAMpx6YmvJ2ObgkneJYb4HmARxzaKjIi3FQMIa85gx7AYDq/Cn
geJEmYnPEj5Q7Rr6YLEQEtp2awxXyzSsLcECZPv1OX55hrv3EZ/uEXGszNzBnM9SjpybUnFpw8l+
TU1TURhzHM8nlkQb2LjmteWNFverO2JmOGXOkQswwvy/m/YFAvi9W8RiU7XVBer0sI4y5+LRDkg6
koxQryxw/WWag2pOU3oAea6gO7H7MIwwnpqxuM4hitCh0F7shhSiLkJ/1ae3D+awQ/Wx//jdBIi6
FbH3SONA8TTdZKLEAS1mlYVAl4ezzn7WN1jLnmBr55AySRqJqYWDgNTf0s+JGs4Gsc9z/M55btBO
N7pkJ3Rc0Yy3jJXmAWWWUtZoydOnj11l+KAhg4n+rNTDgyb8s8X3Xn8syw/W88cvc10w2fcfghEZ
RKs9OhU6ExBxHbVIlW1MF08Yg8hVio6vg6OCzzBc2UzKsFMzYeD5nb4dmgwnIR/e3aTfc2xDTFbv
ti5gr1Rqpei+Hh/EFGDmF4ONj/agbofpjxCL8r1WEbIzSCQvJWoCxItcMfgcPciZdqUq/Jfc0o6+
HUc7izPJ7rNLij5hYwRzw5kcavx8ffDNy7GPjmtMwyYIzrBGs02v7JpiU9u1lVrdsdgnAW9ZV3T7
NgzEjri8pW4z/BlECmAW+CiJBcxLK7vzqKcA5khPw4UT65525e0i5sPkuI5/AZBz70tyB2wu9I8N
GFgcCZqJPZurAVZHgVgGvTrkzOSpIzjR0hakV586Q3bLZhqVgWFw6RMGql6f4vJWbRzIPguP7IEV
PEi4V05Cj/qdHOpcpCQp5/+Vd9mZnOVWOeIrf/y///rur//9v6TwdEu6SG8sUDkD3csn++nAGzoa
87GGoR5/m6XwyU93k0VuM0yaQikWuAqZC9OVYg/xxARCYWo22TcPGO83Xv580Q9vRliGi9EEAnwh
TfnJzB/PzMmWelPgTw592pGi3qRTBuUo0Y9mWT3RkaxIpJ8XGuwroKCQEKsWH7jGwF8cS5zgWhTY
4rWI06Mkxx/1tQRqvpRhkpxskLK8b1axmELQp9FfD6Gbrxwz1B4E5WTsJMDiUWTt2zRrVwgLmntf
OJAoWyadRkQOD77c097NKZyGBI2kIZILqUYCYtyp9H2sEazhVe91d2eYZQgvF6oRV07Hhmceq2cY
g7V4L3yZ5AZJQLCEE6w/amXE6T708i5NmBrIQuVESeqfIOXaDEStUt6MDctR+wP/cmlVd4VCUfCt
OJkjw8IsHEk/KfXo6+xRWtoYTkEdQaESBnex7fZ3nSBYUi/tBxGVL2Y9ZHhjaMUBv8iMEza/aGXt
7oEhkBXUPRmlLuu8rCOOSTk2695SN+bsWg+6mi/mo3/vxVpwBURJA2bmdN0WPiTxaXBwxbAbphJQ
bi2iD30Ibfhx3+mymJlqpx4hQYT6Avy0W8gPeFJo+ksq5+yiSfdCMMd8LACjV20pzHUVlT1rOm62
0LMUFl2/Jn4eHLAY6tBIkAqGnFK7Bzn8i6vC2CcTbzOJAREHI3PxSba2JEiO907OIVhM7XiEKYgq
U5C0M1TF6xhiCuQ+ckvkN4gGxAyG4Y6ppbx5kB5XrlleI39M7jWmlLDaBOsep4tQzFz0QItFZprP
pobOKZ3jP5Cd7MhUd9ew2sg57sX8NUOvT0gGTj+laW71jMWEHmWCP53UV89p/zRSYwD7BAobplQ/
CmTYdwLTnE79KbZ7fCQ//kPOgjpaZovZS1ngAOiipGa9ODOIINN+fewQ5AWOSTyR+sqPr+EoADGa
8vDvf6g7moNme5p2vg0qAf0s2YuWaKYOLRtBESYlqYw6pjoYmITSGy8NRg07YUBzGxsgH/cqYvgD
OYNoYuzEsgicGc5s+lRMRXUkD0Ff6UmMT18JljpTScECIZ+SPZk/NcMB7lB21gn43JW2tWQkP917
3oBFFvk8etjad7ZR1RtTq79VWkh2m9NwAxSgGKi9SLAqanGh3oRV7T+kFUu/63x4v6EpcJzzkUPx
wT60AyaC3pC4R73O0eK2RBBKwMIL/HPCHF0cr31B4FDno9rrc+zbyrh8SOR7FfTDFxcmjTTaYN0k
oHQwM+Uhwmo49RG+JG5rcB3C8CVbGCxwcl7doKh3rtmLez/onjApL49jbzPHJKInKq1h05Y1ssWO
GKe5qNMVnxl+VGJmlAuQg/MYHJpwRnRvLxh1FPswt06xrQ97qyhIgC66Q4wRgcKYWnpEYgmDIhTL
dhyGg+NBKmU4XW8gjOKpZc+vQLw1gRVxutWnYuemOEDJAFjmNxeF88PZ7EhbCNflqNeRxX66KJLa
MH270YsdjIIlpW9N8nYe73Uzi+/lYJJ6Fyff8K6uUcykUAZcsnYZ/ROkhmwbMw7twaholPIcEQmz
lnfQxN+8RVMpYf99l/EWidxBxYs3No6l/PfvIlHc2gbkgwO1G43YWjcBQo3BZYAH18s86HiQLbos
i7/5HOUiybAgT02qU2lp5z4eVob+mOZA7yHwIVnDbrvt69E52pDVooLcN3hJBkA38yowQ1wtKeiB
OgvzN7eg8WNGiatbLtkkrtA9y5OfMkpKDSq9Po0FtLG8OopAnhHgLRDPu4ToyPzYZPuy6O8DzkAw
rGr7Yadog/xtOH0G+O3lF+Lb8LMeb4yTYM0VlQZfN0MT9uslIawfPm8Xmge5FabhWN4PnzcyRM0v
fBKCE8wDlmaF+1dT6vbOdIdVHlQoZJrhbQzqx6p165eWxN6JUbxjN/W2zRF2uH52sLFvX41+r22L
zPuKBx+hF9N470LiXtcJV72sK48C2zQXo5/RsOSl3PdigtjIAHRBTLy17YfaXHkZyYD0FF99e/zW
zw/a5I6PZYnfyIhZSBB5NmpZqP56C7yT4N3Zg+xHoEm7WmeS9/HR/I8g/zeCfNOxfy3IvyAj/fZf
d8wC87++F+X/84X/Lco3/mOYTDpsi+1sup7OHvhHlO8Y/3E9wc4wiDxyHSrIfyT5wvwPX8HGt11K
WR09//+V5Au+nYB+4knL4K//2y3gn/K4+fTn78tl8lg+rXnOP9fShcV74H1ZzqcStYKqWGeeVyg1
AJdTEP457UNbf57clnveL851o9O0WmRA9OoaHrzR3hSgYrVnGJsuxRGQVPTsTK4S2a/zITLlixvY
+PhHqN3jZClJrEiSW+YnRwaom0Ej2DY+hllx15DpKaPHKndOQ8zwUw7jtseFzPMI/qsKRL+4j16i
kdAEo3xsB4HbBgjiXAwJtJkAnkJ6StXcrXWRFJkWBIEqQSGO3u3azUendgXerAQFVBp9kZVOWOgB
velWtugN+d5W+iHXmP2FmGCE+lVDlYt+AaSdIW3e5gbxsGRE9yjdlLtHPI2k2zfOqUz7ZGGOxplc
sh338l/95KxqD0gdXyhTSW53npUdzaCFgIkiShu2Vd09t4LXxmnTc7JviBsvWlUzGAu+TRhiWW2+
8Iku54aHWqQ9OTbTGN/sj3BxiEDg03RGpl15/zjo6TFqUUXmYtflBV9SrkSl32nDdI5qB2dv/RDp
86Hw9DMBANdQgzOeT2fczGiUN3VmXGutQQRVr5uGgEQ7PdZt9G7A1/K06Cs63Evkds9mKF+6JFhn
+wZs1Snck2ONREonmCTFN0POhwn5ipfkx8HoL6Hu35nBnZe0GxFxbJvJsZvmM0XWIbYHbEWT/eBF
+zrWSAmIj5HLuNiIjqWCSpKN03ebFsVUVDg7M0Uo3CZ7pJGnwdSXhWO/VFOzcbQJx0772E5fdSzJ
Fp7AXTBjHQR2cSBa4863jYNfid2QByQyglJjA4YU3UUmyysXZFKAbYKqtuWKDuslAcAI8C6BRum5
xhlr513ZhvtYpTuYwV6vE9AnJgWwDrvGJASA8OckfZdB+F6140V9jFh+XSuXRS3mZ6Pa1on+NulM
GI10meowmnPkFK7BACe5q4hGZgh+8RQ5sC4wibBL6gsT0rvl7UdjOI+zveumaE/aH+EQp2KWJzPk
EyzHgxFy2gfTIQpJMQpazPuhFEWjtdFFcrTkfFVrcq4kPaa+FDLa+3J8c0vzyAB9TMZnO5wuQyle
MHzazwNuTGVyrKv49vEaUwePd4L5zdwlGEB8uip49xvXXjB42gZjeiPp4GALskB5KqGTg7cusaM+
ov449xC7Iz16kV38TnfJIYEsyqGEmtKjJpK9xT7PpmjnFyp+brqOM5AyxBpcGfDSTI6IxTdVzFrV
6icYHX08bmGWXoCKn2stO2KZt+1dOpv56s3dBdJzEYwXk0dSw2dr+j88COztMF+dar6qJ4ifx0FL
kyNOVTf1waj1aCCPdkgM1Yr52kzdqjcYEKA9UD8SxDBI7YyeHLGTJo9Gq3Bmb/Rzaw7bIgBzhwZl
1Xw/pXtK9onnrBlGLYZBQhtr1t4sd5FwXz1jOYecCb7onjoNrTlrGw0ZziUzzs6cZUPfPkdAc/Fs
IvQkwzTiKKBiPtgSfwSfvd5lKJaa9H0UAj7CywAd3ojGZ9NoN2oxeVWzqSIT4S44SnZt+aSs3nkZ
y4r1os9XXdw1miJoNZtaxnstrjeFBWMtn89OPZ5DSRKbLldkY5bZeNa66erEA/wPLNuIuMJaXfuK
sO7xvhnlSdT6W1ijTwSr7rEqWsK5P1nO+OZJ/0suh4UH56fNEf90EAxYzNhRQX7bI60/GUzAtbM/
FPcW6Sf2gDe72e6qOdmnrn0Ssn/Gb+mMbWiFpkWtWWnNB+vVjpNHTOH2bW3tKpReGfqtYmR7TCFL
gk/aTvVl/WdjwSHp5oNXts8NIcYzrO+Y2fnMRlD/16AmF0jhLJbXaDsbGRiHSnZvjT9icNZuatHh
bsQWi6GR+TQsNVl56rCKGrYV/jCkIgUpEuj+WR3YYqQzKeIHj5utjeerEWe3tqq+mP61g6Zg+Qb0
LTG+meG3JvLugtE+qS2pzgTdc05hzLNjEzUmeww8Fgl+4L5gcgDTIOem8cRL1ckdd2K46HV4m4I9
z0GFx8Q5bONby2ukGJwAWh7DEZnoYNlstewWewP7I7xXwxJeC8rD6WPHGeMJ6gnJM5r4s9W0k5H7
GQ634UMfQau2Y/ICwsn6MpsMtoPSjPcjUAdTKmuXjoG/1GX7FRLaDXpXv5Ox8RYHNsMLTy6gBpT3
FnlzS3Ow9wh5g3s4LYQUgIXCz1zgmWLvue6+pNE87WIwqSysmmXaJS+oWc9ekUyHqcgOrdGQQwAE
Z0FIgD3A6M/PhwmrLhSRy1xCNBEmU5pUfx6VzYoRD90+skX39+8+/m6ao2k7ZO1d59iPURib2MnY
1j7zI7H/+N3HL5qo//mjsNTbxjM2a/YeFOD9OEGbJ1byKzU3bC6L+r0D6GUeCHypwTJwJK4HS6yw
jf3HL8QgGfssFi3kOfkVCz287Dp/7+NYOhbp1zAyG8Rj/rB3vRK1W58su1TNT/Toil1reDdlw9pF
H77yOn1XtfbGgDA953ijzgkDe22NZm7BHbAAYHebd7u2NwkMCjxcCNNpV1DnnIqsD/6mhZdUhsMa
nRZDlU5rEEkU7d+/QFZsD7y5eYf+/eSEWNtSFKEIJCMkhP2cauE5LwR2JJq44nKeytssvR3Ge3Jd
he6tzg0IBV3v7qO8+zMaUcVjfYag02Nw6tBo2iO3cSqu9ui0q7IkHRi6ecJxQ+pCKxli5SzsOTbf
UigTfS5PrkA4FPZo3Gvm/OX00pXwHWe2OZbFB5MtkE/dhQjJS1BPmDvU6wkbC7BC9w/s5Jm2xmsM
dDxDJdZy/I1mBYM/cV4wYznJbHg26wl2JenyMLEr393ijnGLUFgNBCjZyf7XraHxY5nsmY7n2sI1
bUc6xqcmNopZhnDYGVo5yXuVEGeUPufO8Oy746kOl7M2HSrqqNGp1r955c8Zly7tKCltwNpCF4Zr
q3f2HQjgCeZhgDT5Dt7gebLQhE+pfZdCgOB8odABU1wqRyfNs0+qVPrNy3/GIHh5C0Td4R3opufo
n14eFHS00CMXO7OliOesyRE/axUGuvolMYaLbUW3poDU/hjJ7FALTjUK2zCefgcjKLDjezDk440g
UrIp2mBPfOROfvc5BBbJy27j5zv18JHyXiSVSaqhS9Qf4PlezLS9IJ1auBUelHhg5ml3yZlF5Qa3
T0rB6oldlCMCd77++iNSPdqP78wDyHccQ2KQ8QmmQYY4zPHk5juvo4XS8wOw/qPWQEYH4aIIlfZa
JN3rx/IuG+rzdHqjEnsOmnMh45sOo9AKOQA+ykNXzmd07bb2tUzna8vVZcV4qk+UIdR2djZhjDZu
VQlie8M2ieUOoiDWuc1ax9HETcdLFsZ7N9PPsyV3Nc8CecsqLZgXhv0l7mqUmC+pq28qLj/f7bZ5
N22RkV+qadilLT7gglxceH0hgXu5XW90mMCVBScmC644OL0ls/7VHsXJm5CqWfXZNbqLX2bvldfx
7eNbXVQ5d9jSFE4PgarFwhTnYgbtXFUFWSHdgJy1LvLfgDc/Wx7C0E1JfLIuTfPTOjXTyAO7Ejm6
zGYjCv3ceSm+K68flfV4Ndr67teP3bB+9tyFYamu3RXskU/P3RsMl96UnQkfDfFB/BRnG1tNXooB
xHk8b1yR3CbkoPgqohbp+mfa3T0S2b1FXZ8yIjHmp7BBnlLAb+kvHkazo5k/WI5aDOC+CyhkZ0jQ
NBLmA5Bf1Loz5M2JD5GrYyAxnfOwoxRT33eAHMwITvY2SHd0VF1Bykogv3hvmCNaLVwcnPna01Vl
UJy8GMPp7E8bXZCGVJP+nulteswhPEXNqxsOlCn4sHg2On54fbhLlzv0IjbcKFfexQbRsaLUFlCH
ArMk4hsvmNr1j77rIzzxkzejxRKbSsqEO5R1wUOejNfB8Z+jiMAHWjAqcOvFTKmOazBiaf1R044W
aXRTRWtbDlviyE/Z1Hytu+mtNynHcgZSiDqr+g7Ss+yCu57POJDxMdEzQE7xovxDB0z/xHQ/4o6q
meXODOTKDboNLhg3I/X3jrlqrfNYWjtIubuJU7tv3Re7N86q3aNiOcAtYrtK5+8+qQD862aO3XBf
5Y+jyaXFz6EN1G92cIItgmoO9NvoD4Orv/muOOH2OvxmaX8GUNXJJxzXgzToOqZ0Py1tKES4JGkW
MRG0b6qlG3nsxtXxy6/qR87tcpf/5rT92amPNw2XretAOfpApr87bBmhwLgUE4ctkfKCxL6s+P2V
+pMtCynGFFgcGqZnuupNfPciEVS9lnQ0EoNckoUGtN8LM52f0TpuK+hqDlDQY6JXRNpTG7i4txn6
oQmTd1VlYyVyiFvI25a39iQ6ORM4QjNPCW1Pb4oXh4PQydN9HPI1jK6aOH51bV6m6hMmTcYen/GF
OoiTbLwimryCmLMUa6Zo5rwup+zY2OQ+Ox18ofnc+cnN9KZDC2G0wOJC9WWORViKJ05JKXbkTT3X
DUpF5zKTiSlpdNSbRJa/r2z7NFn2Mwpwlsy6d8sv5HFQLMKaGs+JFR+ZWD8bjnwJsvGAK9wxr61j
iHsCvvoH1Ta1YXTUZ2eVwG5keRzm4AFnV2ziwAtMhPAL0D28qAoUyE4FUzxfdyOll25G79ivbLWJ
niRKjtDw9ibJtClP0k2tncIV1MvpODMu+li+5Hb3nDXQeivnRUdAqpoSD76ixnvx/eFZneCCfu03
x6j+kwKHJeYhq6W8EIzJ/70MyPRBETdlOX5wXJ85liFFFdeLqKVvqh3I+0zLD0WqITEPeUYaoYtD
U95hfvlkest0Jeb+VNPmoec7kGp16oS7b9orU9plRYeuWre+PzfZeAk1kg1c875y4z+8FjlyDi8z
1k+xFX2d3ORG7ixiOZOPlOHqnYj8jbIsz2W3QLpwF1dAAD07n2pUFRVdPV46X57UqUrG11vhq4SR
Bsv94Y2Aqhv5NTfHKo6C4Uo5uXtNSIqPcWsALoDe+dp48dz+YmBJ2iHCyIo/VZPqJPG+1satxM2h
BBxB+r7NJNUO+Itdjtcq1M80eOOARQ1gmarGSFFbBTRzBNqd8nYTGN1e1M0l64e3qRu3qgiSjYIs
rBfkjAvF1LfhxHbFcLUlP3EXsCUs/7EEomvd10RqF2r3dvXrB/2TU4zCTf0PE1GQ7U+PeQiIamyH
PsfoC4IDswpRool1hmGrFrnVjmdh7/0y+M36MuXnqQ7Hp0v5zA2NJbH7w/GJunayTNHluzaU16xO
j+qewxOhh5I46DyMNDv6AyGf4Gdw3Fa+JXY1BU85AbyAcGLMsbMaCWMJISwuoKrIToA1ax0LRWox
w34lhnUhMERQ9ZILUOqMZ4Vu5In70nvEtFXxXh0ZQ3TsNG3b9PYW+ZQz0A+lHlVYNr2hQDyFJiZD
gHsxCRpVie4k06/q3EVZcIpzIERkHXUmCXVaN3F2nDy07MlwCSh6qCcwQHgz1WWU8zRjcW8PM6pv
FKQW/Ti2F2M6HTKHc0Pt4cBKbupntmb9Ohv6NZ71Y0WkXpO8ak56nARtH1+bRO06dOq1aXP61oS/
Uug4o35oWfbIAwYcULsqPRGB7Er/BTyQHdu7LwqhQD+IciXkuhWncs7eFRzi9uNDTmX+V1F5Wygr
R6NFRDm812m8aQcM+AVVB3ToN3wsLV8JDLQlDFItGk9zy65UZR05MbcZlWozTA9B6JNyLxiqo91c
zKm3aWh34yTdT7pYhK5+LJW3BLzbjgDBbnJOCrUmE5tA33g/kZqsTQKWU7ei93pTP7RnUbEkxrnS
or2ODLWOu4u64SP2BpyWE5zGs/pzaaLExLcbuKjuomMOnNyP9jFsEiUVgwhOdkCBSoeRrNip01ch
awX9Iv5PDxAlPprYqXt2p+HNKOKnGXDG6PQnba9OXYTJR92H48/owJjjm4jio5F3NJvhTQjelQYz
ndEuZmLTcvJjiYfrQUr5opC2LOcfsHtzXb5whR9iQnQY8kIaeoor+14VTAYpaCIVLzFSekKRcSqY
3/qQq45qos9JiO5jCM/giB40BhsusbOPCGtRWFvbpsCLFUFUO6rbfVlOh48Fz9BDlZER1/A48Hly
eglQAcIB1qobT0u4zykMM0lkNn4y6vLJRUsHKU/QTZmuvukqKVMtOIW+xlyq5UjvQC7o3sNq2IGq
h5iiv6YzE55w5iatOPxnuLkVqDPHscIJ59L/9utTy7CcH7s7uk0pPV3aHCL6pyqf0NG4MoXMdo0z
IULgg5yHO8v/As4F4IEh0EI1oy5BPMCYzGgwt2IjKexZLSyS7bDWbOkBWuShC5KiLmkiP47tj2/g
mK9VTIFbEyXgTW8xHF2+34nL+8lDI6TbBE2kQ1LfgwcN6wZzC7K7iKNeovAz96LnzslrTC11JGPe
2EFlr0q81LrunDk06YFJXpLE7SBy52NeRC+GQpHsmW0y2lm9MczqVtYebl5xqS8cQI2aBOVFW4Bt
6lY5LE45PToC9G4xmsV2iEOQ8O4Jj8mrV9Ei9u96bZXLgg2uzpdwJuiQoM2h1JfqVLdFe1ibHE7q
zHkKNP2kV+Qh1+FNh1pNQMvV0sfLGAuIkckiNPYIftbqDk8jmCIWTGUb5tpAqafu3S49eqxItf8w
ZHoyrKeeuUYa62f13VSZFJiqNY72yYNWO+uCmYBaFYmDMwvfxAPvr4GXFTKgMU5IiMtVnYZo+mcD
yYssprcp4w2A22cTJiyesdnVJVVQ0V30+6hydIS0A2rOmWMJmVXVvKdt92zZ41lt6Nb579L/f+bu
v5u761KxM/7fRvjHW9Pc3sKu+da2zb8G739/5T+Dd9v7j+JxEDZJkyE/Zuj/PXe3/kODY+NB73D7
m/yL7yfvDMWRH9murbwolE9+QzAMPvlM3k3FZdEdl1G+wVj+/2f6/uPRAvMFM3xoLsLFc/9TSeRZ
k60lpVbu9Ho4FUJf+bVAillaG80tyFtwccr77kP6Z/7//bz/Z68IkMcxBo4GtfzTK6a5yMWM9deO
s8THQXKmHcGWHp7fgHAv7P6mjfwdTvCTl1Oo6L8xO8PhhTwIBg59nqsQlO86POWpNtdlUlLab0QK
A05zpms5Jzebkd2vf7KfvJRruabQJS+o82r/fim8FAwoinO5U7F7SZq8+xoxd0ihCe789Sv9CPsY
vBKQDyQh2/vhqXGWzw0TtZIKfqD5dCsuppBASkTZv/v8jB9rVxBfg96IDglp+mfYOSj1DKY0P5WV
1Oayt3RsaepV6dqHUac9sisdJrZ7Z9RclQWKXad3TlZQrWczP/76p/6xfOed0B+aPE34KJ+bdafP
XK31hnLnedpGT/yj3U2XKQBZ05jsgr82wvnmR8FvVtDHT/hpCZGHYNs2ek0bz1j13L9bQpohC/Cw
giWkJYTstncmsKJC2Co1h+8wuWUcFefzNXYZEBRadKshJyIlZf+ImsbYtZ9jO3n+9afx87dFS2Hh
3CNs+/PWteuiM5WlFAQQyoAglTtMBjE6ViWw7rZ/dfqxq5nOtjHYJwR8VKzp4wRJb1Fi2exCm5+Q
CQ7Y4/76jf30MUkHB3OoPjrHy78/LpwOoBEUWUk1VtW7sjeLVQ2jdppwcBgEO4K0cUDZP0oT7siv
X9r4sZFniXz32uq/f/eo6MNEr3VpuRul9TDoMUE8hMUuaE0XZj1eR9RJSz0eES7Yr1H0Ja/99jer
5WeHwPfv4NPxBos9LAjrKXd4CMPRcUbGVfFtxkUVM6Dk/dc/rwnhip/o34sTFZ3rsi4dT5g/zCQK
P5NuVpTZrtDLjQPXzybWeNApZJFIGxtRYYaWr/o0+tLRMjHOBsRIscmXDLo/6kFFWXD5mv/D3pks
x41s2fZXntXcr6EHfPAmgegj2AVFSuIERkkk+r7H19dyZJZV3sxrmT9Qg6RRSkmMQADufs7Ze+2Z
w5NUTR1TIAgZ5Z45wStaPxiRw32o9TfL7G9lgjup/KryhWScvOM3MzftML0u2V4WYFvDQ+/k4DaU
Pkr9+d6hUwynzBjLA46P53kOVM4oaVIeasvlUjtKPpDyh+yOHDCzvy+Wpt64Nu3n0aZ+Gdr1gZqG
8YbT4jQYRIaD/8v0GPwSKWZ8osXdGoMrLAKW6/l9bKfHGEqXCM1zUE6nUvIaCw0GfFo8rucjLSqQ
rec9DeAoPeV1CO3UBFjLrKPWjlb7K2WGkLnaJTVDMHlyH1tQ3ojz2Bky+VRZaaono+4nQ3ILIymF
BF48mXb701NLsboyWooOS80BqhHXxWT8FO5AA34gmDcCNee6d23LoH3kfelEbYyIETjH7WzAkw3X
c108Ome6RA39IdHAoJ3mHNPj9Go1XCCIja+jxOGpZFx6TAiV1r+PQsnD4KYbCR2VoYsIy+U+gNHU
QVVh7rHW3iVuWjS2OIlYwNTlDxBTgMbaGaX4AlGHEMAy/2xyUPlN9Emo1R2+UgrfORcEUGiXYKh+
yoi6auKtipGlx6aCH+LhPpEfk1eZGxgCr9HIPmFQJ3WSdbGS5zrSH6oScVlg8UoCb3maTI8bFo0M
HSgpl2Oe2xeIWvx92crdU9rSr8Rh8i5tLkER1OTB/6oHDvJa9q5+BLjLWzSqGw3Bl/p58Vy/tViT
pMje6SpcbHWllA5iqpx7N0VeNxJxQT5jWqbvSkoxuJgFTRpaDJ42Q7TxyvDJLI1xQ2b7LfGwWmt0
B+rQ7jBmg8/NS/5xs839mSCbjdUibsggDhUayjVQYtiJgYtwvFh4Rb5qi9VVLPwWpVOSRgKOX/3g
hMOHF/PjDJMPq3HkfKjT+/Ij13f6o43Mwe8KQgX09rq+ejfl/U3o29S+m9RAIOJ3Q4HE65psCp6R
2brirsCpT561bxGbpWSE6lYe1easdDM4zZsN2cEwOfhsYg6qBwtEpxEMr2aTVLiO4Q+myfyixwXw
7InX1kNp4MtGnWGcoKn2tRZM3B+mAYcnobDhdqzt8DNRD+6iUrtw6n0zjfDJxYzuQ2qm06yWEpxm
n6MzvcqMZ6U8stziNKXiitinAM1lfh3U3lYss7IdIBCR0XtHwwjIT8nDKdPDPD+3C2fCddka1FYf
9cR6k2WxqUILpG0GWIVKUFcfFCYKBiDLZojdJ22BoNXTO/f7NPpcS/dMY+nrmpAMg/QFHNi7QKxX
x90bk6th5hkYuF30MH33cALjt58OTs+WxdRqZAvX0Z3WwsRmwx+Q/SGsVduSbsDaCMeEZPgTTs6N
aSp1DT8lYB/aNsK8b+HMKGwWVK4r5JjSXVRP2dovzQS3H0oOjs07refayEX0h1E72nKg18WgqMD8
uR8hwjBaD+O93Ux3nt2X23kyXp1MPV1OWfEP1Run62ffrnjSpyaCDwq0blN1utwRPbktsXhsA+jV
oX1NBRemIoR2h23fK63xXBlt4WsRVgmMUG7HKtpWapssJyb6Gj/W0cQXnq34kDhiPwuYJEbX3kFc
A+oaFTnJUtZzNIAAFSDodlmVvEzhkG/swsp3MuPCZbq2S7DtcXNyUzjj/ApNj0gTdUOuhxcH+Z7a
DrRcCRydo2CurrHEdR2wirnTftWB9pxEBQMB/WkM5GUmm5gk2XIbgKL2f/uI5u5rL/MDQ2KCq7gD
cUeWW+8MQsjbiJgbqkiKd11P552ewe9qCTCda0QkNrd1xPBiV879Rx8McmeXznNdyJmIHqz30iz2
MdmJG3zmhJD3AcHCYfNS91yRsIXqV+fXTuIHamqdNizhRsEChESn/0JYJvxCh+7NVhu5581QHGqS
TvkAe8I5DbHzXMRgcbUYQN7o0DRmeHZHXrxNLPjGwhA5hJmJ/gXSUlVWWwNtfbLoYFOAfmxr3UM0
VshTXBTmJurwouduhLGOh7BxyruiwkPgDRzbvfmj9rp79HIsbuyZZD1+ONjndjluZiKSe7ioRA31
3sQE1+aHDSzmdWKSYBkPwMprEt7VZ7fOQIal+yys17bpH6aJ26WDfw54yHhHkuVtUw1gy7DU8GCg
OES4SDeIFt4ZntwbjPEOSFaOlkWi53omsgxUfYlNkSQTEC8C+05qdj7CA8BHNlgIO6K+iEbFvkeh
BUEh82FmIfj+mDTFlyPzq+BNJVZ5KzrntZh4BKKgf16K8clQa7nt3C8a/nKbqB4/HM1vbkF7aV2C
kLLF4PjyXYQWtncNFYjws2rt18n1PrKJx5ZMuhecYdp2KcBRmQtNpTKWhFWq9hKfCoZWb7rWlAd7
q4JfUvGZm1aIb47U167viQuB6taFxZfOqeKdG3T91klo8Fjsi9sFKuxRRV27BnBZycGg51neFjVB
GH0BoKB4NjqPeJWaUGKEeXcGzHXEXE+6640/ktDzoxTeUjg7b5DONXffdmL8kpQWzGuTybNuxuQG
xWi6oOblMhmvwrMvaUx8ilkmF6MeDnVQ0bOqJ40xe1z5nQERAMTF7JtR+TOW4GOWOkkPhdhpsf4q
sSs65G/6xpS9xGylW2JdXES1p7nG4Sw1DFP1UoPxw1DdTQX081xBkhvYzU5cz9vZmHdlCrknMsHW
GM/F6NDze1trcovbfizSXde7B1Q2+p5pZONn5rWIQbc0tvFowzLe6mVJGksXH2zhHauoImtuAC6T
RTlqQO9Vj2ekQGm1ZbJL2zjvHzWdIGqbuWRutOHFyutLbfWYuh3oxU4Hd72QdDiTuvulhuo9QCck
EN0+NmG/TFV+YW5Y81CkNwn9wc5fPZiGm0odGRqm+IhfW/CXxHdtotLZ5QHqYp1jnu3+VO4yNBdI
ULsR+XVWPjTYnQLXAiYE8d7Xky0G0NwfJuubJQiQnkNWchEyckhCCpPaRKMAwB5kEMIhMmlAppcY
EE1+oAT/sVkqfM5xyhaAOmECYuMVPhyGPsEUKQlWWmaVSzTjUtLifhuiD9/2XUl4JqFCmybREO7A
mhzdub6CWj+TOdOzI00EXrUQBGXzQNA87gmUc9uis7Z6l7o7WtBw2YbhO4LTjiwY6GAZEW3o3LNt
4RHsIo3i6GKehRwWYYGGwtBCPqwBpELeaRicojgtRRAA0iinbRcFgHQqZiVC6AwzOPnpIvhBKDG3
ExfVt9RPd/C3dmQv7HDxfpoNswD83Id1pytMjIOkwPid0pEEkwrIaHD8h/QJWM7kISiKm1FbBqzP
SM0QTOT4WJ7ZFQ6TCJlaGhFY8B5FaPiSBbjqAYH/yGoR7Ocwj7YQnt/KjGAJM/sG0F4w1B72qQ7R
ErFdeMC5p3rrXzw3jfdUbw40ruHOmdsX6SUl8paBHnUcEeAWTFvNUALF3jt6U8gBseCYrvemX+jc
BIs6Unq6In308gKbwSAQQX8tgJBvvJljuuCYbMdMXJSQRG2Yv3WXMIuQ0sfQotwmJKNiDxksBlJf
B9s4z+A/OULzOaXuAtx9EQjda/Z3g3OWo1GZeYjFYFEgf43kYT22ppGJghokiN5+BQbPDks1kwwd
2L8ck4AkzEBz5UEQCXAYyCXxRyLpOOP56zVZTO9LWZSPrElfSy+8X4+6XcLYwTO6CSJk8mp4HN4I
bbiRVVkaH93M+260+l1WB3VSZhj0WmRwhgw8wQ5W3UOsZEix+G6zdqzqZPK9gPYjLVP/gZYEZdMQ
k9wwAR0i2AshoAWRRUhMlbq8Gktvq+TcBic3jKyfa1K5TtbuUWxJfIHXBOaPwnRfkW2WWBPMIKvn
3+d0QTI4y0YgdgFEtEC5k4Re7zKs8ptEFVu96rX06ipEXgOuM3Zfgjb5sZQaVErCIdSM07C4/uMC
6CKnThMOQ62aT6xLsgS175gdjIKLW2aP7sCM0bWfc6YWGGE+Kwt7fdKh16jvsQTyiGEosNmnFWx3
WyZV65Ol+WyrMmSc0i+VVtRHzJoZ8l543U5bXsyhuArXyvdh7U27IC6+z9a9bVBfujbaqoBaj3Il
9ChNTaX7FilffjtSdcWTm7DOKX3CXGskQ7UEKi1sqKosdTr5hqxeWDGfKU789Q4Ne2aPqyomx6BL
SCmjYj5r9bJ7zyEfXA/RXVEtDFp2NEztwUG9tEW+BuwpnokIdtznOJPHtGKn1pkXmqRgbvJIPyrn
ijliQGk4HPcuF56TPQXaPo/jT7geGIz74ZbWnHvyLDyHxMw4ZU9l2g6XxTBe18+gV4HmJvERUa9e
g1pXi1LVFqo+BsH01XJmwJ5kYmLVn3ceeHsoLGoQrqpkXOnHyRX3ms1RC9TiyOqLoGvIuLnUizDa
krkUb7dwcma+zNXp0hJxQLGqNBS9/eImstmIcj4XBvMvRECb1p6fagFZwUVmk3YPBm2IWV/OZFfn
QIv4E+qfVg1FOxx+jOWLRQpZhSl9m3CPAJND2J494doFYua9VQOq+kqfrvrCYXd243dTlegjIBgt
+Lq239YXr6s9p4KCgI+DRkXCJqXHxmcHOHIs+Zsizenzyv5E51nVu+Vmabnh09i5D3J6KToaoVx/
mnQS+yJzujMTdkxhP4ghJ1mpfFELRk+aNIYJpFOsfJPugCVDBarKNjxnLGhZe+WgwSGYWq/3OFnV
z2s3uQ651I39JjyH5plBeZkyP1b7sqEQ6kvx0QAxXYv6oeTI3utMK9xSXhH1sAN0kQ+se97Uobfj
iCF3SnnDHczfAPi0y8ODrhG6q57aRXXHSN7+hczEJqeDMsIz60v124NGFOO56Ns30GPomdTD+BVZ
4i/lDVJLifpUo6U/OsRBTVn0rqwKBGBhk0v9LANUWYgHFB+YMEoFwOBtqxbE0PL0hNN0s90vaR/9
hNewFHRVGgeMp2uegp4lA2gU6zK5Xcv0TfUuHKF6yiyKVYfo3KOZqeZ8a+NS2cJKTq1sJC8GT0ft
0KgYLStFKMvOtc4GzK52N0FH+lQQQI0VOkIhQbBtld1qWe6Rim0lMtvNxEGd5IniNMFQ99UAI9Hn
kNgg45xoNL2G4tvsJAtuOeoO1fBRPrTZoqvhjLzqqBUnRj0HnUOiq27t9QtWaZpThM+V/abWIN4Q
QHd0MueegDFIylBnNgwsds7I8NKB5LA2FqIvmQ09ITBAqNUjN14YU4B3EohjxQ2uzyiiEM6pk0Df
4/80bfrsKV2PPCO4dHUKyfy9gAs5ZLDF6Z04iryvmnK4qQ6tcA6rSXJa22fJIZYmc190o2NHbC0J
d+Bhslti8DZ5i1Mz/qB5uKth12Z9AAOC8euGwJtv3aDfrc9DF1h8hNiqy5iCahYYqnPnF/IDaqEa
PLSaw4fTNrS9r6ZjHAnB5BZfH7/WxcIzUBuqUjvA/zaZeH/oMTKDBgMyZZlvcEOr8p79fsAX54Qs
3Ha2MCCmLHK89NSM/Y08kcNcGeZuDTqZyf/1owEWqjpR23Rh10orVK0yMgM2c0FIRtdh/F7dVwxc
NmuPNBfsujFNt8K+joJqNSEYYeOEnN4KCQizwqHTRXwgNsgIHKoGCymdu5w4+SgmRKykKxToI2Sp
KTrg46AGlZ2ErRY/tw5qm+SE2qjYN2kmtorSqZnlU+Rwmiy6AfRte29gPrdrltcheenCEnlUyxKT
2SRXKorKWnuCzd7FBJOBz+cSdS6kwW6+jolS7RB85mddjiTKdt8BF3JiuA/R/lhT/rl2aYTgTTcq
JrUCV+ho2HvtGCNoxNZW0JpcNzuOiumuJucrtimNpW1IeKQcT2f3l4v6n4+T65hD+4Iu7H14KSVv
kwt2yogUCdUQq4BH+43JtUslTNdVLVLIR3Jn3b1aSohmgsAIbAu1QfHVmpzPHjCm9GRJqxt8qhl9
JtVjjuB3kyx0lJbyW7t0D5WgfYWPkSIKGOcmZnsjdRB6vxlf1poZNQ4tZ7W3pQ7H6M51PupWYOqh
Wb2o1pRh82AWWKU4MT7QZdgwrM43ToskIZR7gXycP5KwZ+HwaoaYpsE+El5/tz7LrTCoUavlYT3N
rW+Uo9e8rWyLtZkij84sYF8+dBOLNtSIwxAa8VOo17fWq37gNfMOWX2nz9r3wOa4rRLegjB7c2My
33ArBLQcEFCpa+NYnK5HoDzkj/rqrp/SW51CPxGg07bcIYe2mL+LgLNK5cb3RIyNbkhoVRR0FzOj
Du1Ivjr3dwQh0gwMGgPTRX5OeGtnazppXkVR0My/AtP9KiyQqZTnBzuElGjJuSczO/9W1d05rPI9
mSkD8G2AmkW2zwsiIeqflaIDRvZDMJQnoVXfFxJBkbVT6wZde22tsDoVpEZuWC6HrQ3ObDRi427S
hv551vKXPB1IuranY5rRrxNyv9jTrZKR2Lm07/xYE+QMgy9UQTDNq7IYTvYZXae3LRezvupmljwE
pXXJ6T30k9HvtaG+J56OQMEM9GNqDN7e6T1zV4UAxOs6a/eZzrEh6aeHNja1KznYqGaiZa95TOaA
LA3HMEE73JvOKYfHNnLcpjx6L0YiMgLvxbYIrMzbDcBP8Ub2s+qRhslxqTwAxVr6lZQ7kKW9nV6x
KhNrYxePxeiFuu/Z2s2pUSsWGMPOuUpzT9dId1L0TgkQZaQy7nn9Euh8138n/0I/cy84v3+xCdnt
kCJSpKio3bAw3f0wV09ZnTlw+PjiZL1ztnlyRtjMpzasSIzPigcgHniwB7FLPVBWGFvoH0T0i52I
lUYHqkGHkNUuSCX0rVJr922W/Ww15Ex9rn0vKgYKGSS+XR4VEYIpPT+vX+I0+C6bWe4Ms7bPE6zB
P3xZfw9akrdDVP4jxl0yZ+V84mpaZ2CjFo5uvvvTL82oNw+h3ZxjLCsXy+qnnSPBCAmV3f2/Xyog
zTQUqwTJWUALp57i9pQU6JiCameLoYezlJKSE9VjnW9cVgHQB2loPucAufaj7PeTOU07jaxigJrG
ef3SR6l5blr1XNHwB7n5P/8Dr1UCM4eOhi5M/bx+od1v/PZdn6bQCxb1f9xR9SY1qEFjHdePUmgM
9yrt1qa6dkNBHe5T0vTAizmnqCiIMDTiF9Np6qvVwYsZRZwfBfHyZz6lW9kBgp+06llzmiv/e4Le
ChvfTLPkBIyvpxFZgJP0ZOF7yNOfbF0YuC+1auckUQwzEuZJp9sYbzgRsOjMEqxvD2jovP6SRnv9
OPIz1l9No63v6PCL7SgL79D3vBzyqKrbYubVbcYuQGucPsX6ey5lWCd759ESD1OqlU9Ljdk9Ifll
icmJL7MHAJ+Uhg5Iymigu48R2GIj4nK2vXBof6tv7SL6pU+hsXNc8gkLenPn9btBfQp/+D2NjGqY
wN+8cYl8svJIlTDc70JzO2L70vpiFW5IGutmUjzQFQq6fjcN0TONs2XTVuzgbqtNKGWzz4RB+y5l
bHhef2v9siamr99VDfZMN6sAzRJ4Cqnaxnkw80BFb7zAp3TgLjdKVOp2Zt3PT7ILBqZNfPHm+Sfb
EThnOIIEVxzKsXm2kX9DrplRZZo7Qz3Frno6yYjUDr2VXOu8Dbn9gp0nkIjTcb/as87vGKHB+d/W
dt107/ZNesGRDR+tgf8bs9Rso1qdT/FfdHp4btQj3sYN6YZAzXy4zToq+Sd4jv15SB2wDoS0dGQy
sNqU5PbEaS8PplUnuk+aZoRqNkKvS015ILjwPvKSHaNE4xigdHdTkP1me+HPkvLuDFKp87qzo9n2
Psk9OOJddEkzffHjZcUZkQmEFepnXfOz54PVa7wEq/kdSUrAC2eMFQOpedawaUG97WhFTOSlYxR2
Fw3QpPpu/RJYuIXX72K7MvZkG7Fz9qfZBa8KaHOAh4IHeVaW5PW79ffs8GUMg+VE91iyz020x6N4
KbgF4nJjKIOzoazOLZ7nWeeyxi5b9DyAmoi/wRmGtIa9PKqa+ajjnCYoh0+ezE1lqU65mWk8jOE1
iAmLUsZreCAkvkqbJh2mbIuSB0Z5iixZ+4Hp6JC4l5bEy6ic3mRdvS5YuVPl6dYxd4/K5S04h5zn
1fmNBdxWXnAiARJWkuhBUz7xFsO4xFegKQf5MLS/ag7lnXJ1Zcrf9Wni9YqV6Qtsk32KZoxgOo6w
EWeYpyxiZRoAbnHbb4md/2gd7weFCQgyt1VOrR9E673PVuNPbnsrQptlXQEu+mkfCtAdvAENzS/n
Mo9HYorMw5Jy1ktmDre9V3EwMtwvXTRuabL41RDukV3TQZ1Y29AAo+jF6MZq1zhvcYaPbOEfATX9
6RHyuBn7mPgsWo26nX8NK/K17cj7Ysjwh+l2P8xCp+/1FKe42LOQE5xtU34vefNtFOl1Mc8LOAJf
QyQLbLPZ20o3qykFbY6UllUI61nUnISCvbuobQ1kt/jdiD1RStwFSS7J39bOVCrdUel1F4S7zOKG
TfM0KT0vp9nmuiiNL6Ooz8QYpt+6PJYAa15qF/U2IlUIZMmXwSV3C0EiJ+psndcFsjP8pDzmQfOk
a3ARXcqntaOXyPBTtYKmtaDS6LB4eeF3BjzTgazaxB5fG6kVG1sjZxi5hdYFFJCmr0AehqBusfC6
oLZuHtN63JlO+h5L7dnksEjvkJrZyzuI/FhtB/oCeIc5NSIl6GkLZXH2btSe2BytWv6DB9tSEr5/
U9tIjaoAWRPcI8PUrT/pi1oiSCxiGLKj0qkXM7VKpZMNoi/NZmJG4lb5D056RALVGdtZTn9CtZok
A7XeyDcySuxdy6mbBkWsk0HDBHe9lORKbCwssuZ4Cg3KWY48qi3c3k+Jw5TZprjsA+rtiqC5Yf4E
8MW8KuFMqLnHuCSjaaTbUyYOscv1d4dky8lOiMYeVesg2y8s1xz5iY/rBZ6MYff3IiRdCbr+clHQ
kOI7tpX+8U+6Rzc0whnwWkaKoP7aIycCMkbfiZeEiV+F9JFEFcpmO029t/37n238h59NKAbAYUtH
ACX/LI1vrcEmxrrKjpWaeOcB9Rc/SI9ebdoMwsDxYMw3B7XIPOmvWBtPchzPqgpjLHoLZDhTimsb
zhGMlLu7JpOnyaLl8/ev0vmLKExquuba0vPAz5kMDbmCf5ClFc1UENmYctt4vMqoo0D0iIzbsAxT
TM6qvYady6+cXoJpRleFZKwe008l5ohjPsW8YDrSZ96+pCJGa/BuqlrOy1B/umXxnjT5e0arkHsC
9BGHsjCJ3so25nD7uEoQQ03V7aod2NUo0b8lRB9sSGz5XadBmfDJIJjoR+j2xkAhb6RZdUjYcMOF
ZBD1Kj0TkCS+IZLbmuxOCeZHgvkw8g63OY8+SOd8+C6d7KYKNvo8704z3rKmHXxr+mqoJmPs1Ccb
oi8ij3Jh9NiY83M2Rce/v9b6Xz3RXGxbN/C0u67m/EWwWk1xKYgIS4+xk9q+JDMFjSrVr9KbNGol
A1rJpDGvTvRohk1K2OE2yRzjXh+sPYyJku2AjjJhw5yMs6q9FF08Hltwepnar+eRfs6SZ25+jkJ6
kY3EnhowAK708rq0EiKytnzmC4BiG1XK3qlnGMnqM4noWJhhBGfzPWwFQjidfnXMR6cGikVMkywZ
WfsbahQNjcrGzDl1Gar3nBjHitxgnzZD2dBuc8LZhKn5OEYMpkAgxJu8zL65CxWxwrPkKvswXnq/
mll5msB9yzqXU6H6/1HGl3Xe2ouPLBmrPT0Hoat8xKL7mcu1XZ/nBicFc5eN8SHSivfeYByZm9rB
izpGXlq+KzBX+YnpqtFIDCG20F446NGvouNj0ZpLjeYKAoWkN+pvHyT+be21V6K8t0jziCrxURrc
PkUR6sTV2N914mhjgJ4MRlIKLA1dWRsSQcq4d1O040HkhrOpk7raMy4huIikgurdAExwHpFN+Wlm
v9r8TyYE57Acf1gjIGOnABHa35mVe6qUSMDBUUxTyjmajXgLc55z9VLrEyzQDzFipUzL4WF2MmJj
QbYR8Ti9mtDg54koV0hRpNeU7cs/3K7/YUfRbcPRNZwA5L392cEf9mhMLIJlj6Z6y2o3cPk9znDy
FyHVhZtQtEIVRpETA0pSwzs1MCuVks5SMioAoP+g3/2r4htEJpsEdiOeItbWP9mNSIkZnSrW42Nm
h9+rPHnk+HxSrW8Co9EizqdAKc7KcXhV0qvcA8Su1V9Nz/6Ha/MfFncTryZXB/wVksg/S8/7uB8C
B8sQtkkSaqaepwpHf9JWPsqWzkcp/rOhVBsW+6fTMH8hremuVf0NR+nH0FMAAV+KbR54X7Q+/kIW
4LyjExb4cTX9gxJX/kUmT0gTaw4KeaCDeOXVFvCHJZ4DtsUYfIyOU5oEW8EUHWXFViOriOwhcPuS
X+IPdNydzcd2KbRLBEfsjB0ZbyN/kQb1dU7jcdfHXr5DP+H6pHf4NfkyLL1WDNBoNjfkf8Dk7uUr
uA0EDxr5tmeukCBzVbanMZ1e8jkhNntBFWvkTUiLw9pKYctXSS1kaDejeRZp1uA4VFo8EbP7NMvR
SM0tnT65G0Yaa9nXCqvvMSNXc1f1cbTnsfA7lJUvTm7sHbh4AN2WOzksJMcwtyATaRtaFVwmAgZ9
3F+FbxB1sY+l+NpUbQYBcaC5KrVvc4ZYV5hH1XNcpaLwBH1PCmgcyafGHhEZ0ePgsCAvRfEMN4JV
08znbW6KE+a4R9D9n+C8+4NjHoMka45l69HQLidCuhwYOM5SX2tZVbdsLihOU1arHFA1KaLxRzfG
5W+nj/+zRv2TNUpHyPCHdW773r3/vw+2wW6+f88//v9/3cU/WfXfi39zRf32l353RXnGvywdmI9u
Qa1R3mhO0r/boqT2L0vjMbItrBZYqRwk7/8DJPX+pYMINaQDbh0ckVoR/tcW5YA9Nl1limH5ApHz
Jwjp30FJdfVD/nioxb1AuQE03wEKABvV/NPzXE9i6mie6hcR6M9dU5d3wTLQiTUJICOdctKn5qz1
ZcSRqdN2pREvD009Rxe5MKlQv+r10oP+Ip/mrLGe8ij/VpfLSMw1v7KnjGa6HpGvUIU/ySL/KIz2
qRTCukY0t/xFrzIyMgPoCqOz6xkHX0hFtbGiUigIpVyfbcKIzLqob9M0fK+y1Lm4znBrmzZ8gCNo
vgQJYyYxae3ZcEmjLMf8gWv9iEJsuhWug6rTUckVMF5QHfZ5cIHod7RRrD9YBpPGQDvQmAmfdHu1
bhA4FCs4BppTTnZdfcx5pPcmbC12R714Jn8KVF5A4tSKTkbVw9zLNa0nQldi3w2cRyIPxHMODB6Z
vPY00Si5kC/Ei65/OmU4Prs5QYtLQphWkjMIqY35LSSywJc9a5Sb2Jj1c6zt6AUv+LABpdHiAbOp
Dc95WB3RN8ir10+42aM0P8E+Xo58fMy5TGpzb4bQqgetDV87ia60Yx7ITfGboptPeieG+5I+QGWF
xccMwOLaj6189kgy6g0Mp8PAwKSFxf5QQuvejkpeGw/o5cO4Ha5O5zw7GhF2BtmRHOD14gG7Knqb
3LlO3cwCFXtXLAnnIjLp6dt056HtBfeJux1E2DwyeC8WXeCySCx7awiz9Xl3DClC59FZ+FgiO3zy
Ri29y93htgSae4OXcJgdo7tHxk3+oYkCQYy2/YTU9jDYCWDbTrxlZN3tuk7WlwCsBHEir2HekcQ4
LItP0/Q21nL0bRdo7Uxk7AWci42oj/po8MIWELu+8xIj9a1Z0x9bOYHUHxK0ZEXAhmFyb1fjP5TW
fz51wF7hOfMU34ujh83B4983UK/tETo3S3MhKE3shoBqBDHdFSpDyXEsvmu1nmwlM34mVEQ/FXH7
3Qpg2UZWgn4hRNrxhwXr8bfy9Y82RWgQ6if+oa7lFVmaroparJGOZCX491ckaOVUggSMiwyjkSyJ
PNnbjGxUrDRHxdw6abQyeCbb1Pd65y3XNfEUVPalGfRNLc3ma4nb3Q9qfUf8hfdYZ5LWYR6Eb6M1
Xh1K+NzKx+8unxsQ1iT8In/SXpu3lgDzMvQM4nQcgBsLX/ChSDwiCRUBglmpP4DPbwmkuWOWTnaL
nJGa8hdDh/DBEH8yk5UWgzjqwI3lUjh2dr88uHNyN/Q5EYeze6oHZIpF9aBnlnOJBrQRmt7hUGrC
6d7STp0Z5D8E56qtFgj34IjorrGW5EvYd9eZwN+LGxDY6GlEM6Spbp4s3blLhR7ecc5NfaNCpNtX
UXeXNyhYZ/E2UmjfvMbc2Y32mhqgIUoiaRxDWI9LExwiOJY+HUFvL+Ww7RIV0elHZYqjIZm0kwKo
TtAij1Q7KrQrs05WNJ104ebHYfwkXbs70IN90RuHhzvW0Q2YYgDwEd3PyvjTuxoI4zDBHU+oppl/
z3NyCeKxsHdWRpIwI+N3ST2+gfvkHNK+/+o6dEbnLsXuN5L4mRMIK7oh3LgVE4Soi7YiJ2Z3XvKL
1eIlWsMLmtQcngq333ECPfGSSvhOWMkZEDM/hpNv1+N0ncjP3AUMC/Hg1f0xcfWNoQ+/XDmWfpyg
vOiixdf10NoZuUsstHCvkZ2UF46WR5D7LQYZb9sOdnrS1aSWucV3TqTaQTj0ogkPcQ4WE+Bt1y3C
twWhnBVjRERtPCONLY6LhuqnDeavQxTjeJlhXgwW/kVKtxJVrMwZZBgBKgikaRItf8fgnjLDsi7M
Bb7wnh4WN3i26I2TboXOsdXxyS9YOLJ+0u8zi75Gj7QeiqHGmb2j0yiteG8EyD5143WoZ0Q6PB2+
Ngfu3m0032ECQQKf7C6Rph1LUnWuduAiC0jSfTIizPCy3IWtKLGL2fFDo0ux6byXmoHEKZNzwtE4
eLfljBJfhn5DCDFsG1okafAsekrsLHJr6DdMgnKZ3uzCjxyEkgRDyoOchgqDRaP7fe8Nh8mqd2XV
fmk7fbp5LnMRwQ4QtGK+m+ncF9ZUnITF4Hqq7Gdz0q0HzJMVGcmn1sTdVRsVofK8zzQOvlAevJY2
YQIQsw60X2NyYcvyOmObBcGrt/X0mFnIW+a0uK/QCW4DQ5O7oIhfDZ3G3+BUPA7YB7cJxG9S+2hX
tDPGqAorTqlMHVGbk4M0xMVBWX7I8KO1SuAGI+qUOGl2qXpq7Oew4YSM2gfnUfbEmaQFRKhRDsQ1
w1HSkXZeW76Ew/zDqnqySczwMaEnu+mQ6hyUdGdi4naoreyNrvzAvcbKUy/NW6R5kJIjoVrVzetQ
yJe2JxZcB7FyoAlq/Tdl57Ujt5JF2S8iwGAwaF6TTG/KytULIakkeu/59bOYDcz0LTWuMGggkarW
VaUhI06cs/faPknc8b5s1FlHJOmnZXFIMrDDKni1+6+0SxJPicdO11xKoAkxQh92KF+Qy7ikQyZI
ZBC3xBfQCczTMk3tQUf/rGJGUPJnvhglNUMO82WE7iF+j3HOtYh+Q7XRe4xeZOuuSSIFsdeR1RyI
0yDcdaCNwTnGu69xVWpyM5gUGS3hK9U0dOe546w7IffPhapP5ti8leOYHLTcsyocC43evVU50b/Q
3BHD1YVDgpNB9Co9Vncm4IU8FDpm5sx4w4LcNeJBC8aCqfmzQmSw6/XW3jDGv3VjYe/ud2QuY8LT
ovJm282paimoGnrdhwHVUrmU1dPQBB55oCSazxVytg5+EhuHhRax+5WjjLrlPQmfdq8dAqO6BY1w
HhHruY+OM6MQDMd2Y44CTYbsLxCna17bJljWs2LNhGIeCIoIZPpszdrZrOb2nIWUsCUpe51bzZ6N
emxTa2g5KJvJQpbWoUAMgQLSvtCAQBtj+HaiJSBTCuMazKhjMGkxl4k0BmROcswd3HdFOqrd3Nu/
x5H7L+rSxTcd0PBDIX9Zq4IgRVmxNQUZu5Ybgkoe+RtUJYFHmGpBEhL5ILIP31MASE91Sr88KMtv
emACp5L9U2mntEdYTG5NpuAS9ouGPKUTF04Px8yc1LHT0bi2NMiKEIHtqiEsixvulOTYMniQeXZq
M4PIqjX4ojMxZDHz+q4t/bwzLYwv/WKHj3boXmc0GUedZJ3LOsyhwdyxGT0U0Zr52xqOP+sYgere
VJsFdalX5DNWIlHdiPWsIaA7pteG4/e+Mw0fyTjxT11HumyIrjF2uovFmrZzhjHBL5USajvM465F
SeLnTsQGYRJXhr2E96ZxM5LFoo52Q3o6ABzkqwFDVC0Zn7Qytv37n8aUBCVzzbFhq2Eizhb7khH+
q5YF9K/CCVEUBCTm4bThGiOEdGAtF+F0TOjxPdFwU7q+l8SIfMkrpOnzgCC+m/QHyFQoXhPEUIty
MMcyMx6wC2ybmWPJ0GK1KEJiuJq3ipnQtlwX2HhdanuoLltrUbpH6Fp8FP38VRKhcDGcYMAyQwpX
SwxJmLTEbNU9W3yD9ySKnrvO+ZWSO3NODU0QdSlOPRhaAp86l7qleRdJ5TGoEbdKildeTgLpKv41
hXpH/0AdZRrxDcKX2Ydh/amtBKI/uEf0ooOOfF3k0fe8kxhtzg0N5Od0JD+cpUinAYM+3L11tXZc
/ZqmTH/HOmaaKJr3Otcq3U8mZxF5Z23KZrCIn8zZ0es79Z4G+VbjJuMm9HmhEwoUPtw5wapmF9oz
WxcKY9LAGmgxLLsHc6E3kk8YP5oos8kNzb/ZWd2c69h6WsiBfa6alB1w6s1tmfc1dWfFKYwsqVgH
+CzottxkxsQg1SzMAiGgJKKNP2Em2rrNSAx32T3ioEHCRKrfLloFJveHvtDfIeSs8VARB7AmBJrT
+WE65OekdxW7P5pSY2Ga19WNp00mMVAR7+Qw4Uvady0tm85S5eU/B8gmtpdn1FFxrHA99ezLVbzk
yAPxIZNuyRVWMHqcG0lkZJRPh2gJsBs4RngYgu4ha1AEViOsKBre1QZOD0FTs9UdaLD/CgLL9bRh
GPmrqKasMDKPwAMYQBiQhuK++na/KnPMBo/DGF1SXT24VV09RvUqL51UtTPU9CPihOQlXVPuykY3
UMNQeVfmXDHxr78YnO5QESTMeltVnUhYEoSMWOZ3XhkvDzaPH1LT+71FPF0yzLg8sznaLZLW3br0
d06L4aBfBzgGIdXuaHEMrfxoGgP2LVnCapSLbxdVB+69XK/0BUhk/iPQ3faG3hGGOCuYc5z1tN7K
lNKcEcuz1OIEmUR2DjX359Qb+on4oV+IM39wxDUZqtb2gbA20qNJWEgqJqVTQ/jxiBFj55Ky8AYN
2Mtm5XjQl2w2OW5lfm7tm9XRYQW9QAeIvqdW9PxC4yiHQVyG3vghZqqc0HQJdDWMbV/hemSwszCd
wDNjx5iwh8jExaBTWymH2PnSsuhGDwYSksh5ItwvZOfBhdm2Q3BRb/hMx9tYiGe62ydtJZdnRM7t
dIAhmSpLCImE4gUFAX1LY0vshLgKsq18KjvLOcx5v+yB8N9QgjAV1+BvmCSYirymzU/5wV4hTz+h
neq3bCD10nRryy8s1naAqcdYp7gOrPBbnTuEO3TGS+fMSH1qIjfm0b5IPqwtB3wDu3xIiscqp7LD
hGm8af7mWwGTW6XCz0sJmqo5mosYd2XPxNcgk/yoovypr5PPQVySeDwgIU+s9S5wYZWB0J7JTqp/
BGkrL6rHQtCa9llgsr510M0K55qNGaOcyJVwd7T2woTgWkL4JNLE/h5Mi/2kAiPHDbjONA2lX3Vq
7l1aU1uH5mNXpu4mbptoq2pub5nH5meq3BeCdwfbaI5T0d2oAdKLo0BMxe3DLGSEZDElwIRGjrDr
7ITXRXpRgSyGa5Pzfwbqr6nOo3JTP3ens6pNdRUpOIJ7NVcYAaqyJLxmga3vlMXJAQcblC5q922u
S2LT5ta96FjXxsQR5/vDEm8b1OgPQYT/t0mAmuI+8xziBg5WwaE2Mcb31OBOwnkNE4HaalKR9jwW
fXkemRzu27XtFhPxTX3hZtQKNG/chsY4Bc8RJ8VwbkrT8QInJWcZ++w5npL4fH9Wi5yctzg7uWZn
rdZZDY13WV+o0JyDFOIhjvXkmf5k8cDEjBMaC4FHGPe8MfgZnoX+uwyS9JF7JX2ckFj4sufwWBmE
xaBGeaiRZl0CoxME0YLb3ZlalJ0p9dNzge7RaxyQ6EJfglMDFMgbMUw7lOjJz8VKzAp5X/5MA1Qc
xNyLrdER/1aOXlyjEDaL4FvQd1iKo/XOKizXB/vunHrFMWIA9uiZjaG9jmnxhUqXOPl0RpWeo5bl
kvQytwy2UAfmB5GDrMUJRebDUufnlN5DKBHSkgI4Y6pMpae7zbQpXHF2IiN/GNemlzbJ2zCRaAzv
PdzHfRi/hqhETjhr0ZfGevTKKr1c5jJ8B9gU2y96bdsvUc2cTyNRAlGOarzGJraJbTx5KufUiw05
nPUy46TSsDbOib8q8N4QsxJdAaWWntlQ7pECGo+9E7wMnNgR8LnJAQYBRoSp1I5p6hzvbzqR6a4M
UQDOjXHFuiXWBEqKNyGOnIYxhhvVY4V1eHNvQlaGlZ4XWhm+GRjv5DTGG+rk7FAHw8MSbGe9GB85
fW3CJW2Jd5jgvY7kKFKykhqOhN7OW/0a1Z8Wu1kuDd2Aa6NZz2TNj8APxMYka3Mnate81Neu+5Us
UXmJR5YlG2oEzT2DjbfJk31D6eWrOLbPpQoa0BHHXrnhFaDDhi5hCk83wTznpIE39VPlhw6Smirk
LZG+QrR0yTfVOu0rpmXmGFPaHdpmuSEYxOacBeOVkVjgmUYd37QWk9k9bk/qSeXrcAd8GBm5SSRb
6y1D8JwzW7qkptkcMhZ0dlsYB9EifhW5W53bMcv8KOaYlA1C2we99IvEzc/Z1AW0XWeItEyRz/cH
szS6/TKOL2ow7PMw6mj286k/3AsQR2tOS9jkfttOqC9Fxy9fxJFxb+i1hZ75qwN+T5Ui80T4aGB+
VW7xTGzBeSw06bGifg8l07yY3vjWYIfauZ3T46g+tDQ9NuYgnaOm6P0A8rG5uod4Z0pVMxC6YUBr
gU3Un5oK+JEY3U8FKVioftGBJeEtL4S4Kg2j5qTZB7YMA1k/K2idts7j0mUJ9a7z1NtYs901k9dd
ICs6sTzXTfXQRIoklLr9KgmNahx3vN7HyXfHqTKXk6nK1yBPd/eDZNnmnBt7XCLkbnhty+FWy1de
ZVegQ+TttwRxb0qr/B63y68S9+DObb9oE+JRMFRHKeNrEOpEeOAWIY1zWrwksZb9UmqWN2d9dFjK
090se4dLyGk4VpouL6U2PHUFFEIVFl+jWBupPN3vaj3i5fDv11J6KgbsTnHORCHZNlbgB+zyp+Lc
khqPAIGzulkb9JsIcEdZQ9K8STu7Z1SzY6FBS84yDtWqw0gdM763lVHvOccZRKli6xgzbdtTKX8i
IhpjPUADq5T6a6iQ0LZVwTifwNXt/fundJuxKC0ucv/qizYQ1AsvhqNQNiQ7BOvUzfIzwpLuYSZj
baALenFth9N9aFyWjPHCPMckKWStvM6FsxP9aO41tzA5VNDIbFJFzwSXLiIEbGjslQ/MfscUJBOf
I4TIRp8e24IbXWsI4mlgPObW/Hs0rPrasjK1vVPuBJ1OXAwo9yJ9VKcccI7p5MmBXlLiRyMLYdPb
LJXS2fRN0fiaKvCCOIPlDQGNyiqWr9bIcWaqCK1KtCjyQvDYHkiAYGNEe44JI9Z4xGwqTZoDZHt6
6yV6anc4ETLBp0Cou0+lE5+2UujhcRzkVyfVl1tjWs9Fnjb088LPKlKKr5ZccanR3esQUsMwCt5X
jjDn4VWknzeHCRWR56p6Iu+GNhcRCJkGathm37VoLzl0hn/bhagvWhZqLz3DHatE6H5vpvRB/ZWx
x3M1pcN2GbLhgHJtA8UAj5JFXmn+GaejeQz5lDayobQyrfJdNvFpnvFK95LTRaFp9knVXe6LCH4b
4te1C4pcNAyQpZXica4hgFo5gfVUM2hzyZW1Ldo2lkl/h/57D6kiav2e1Bfo+G/piIi6LVl3UEcX
T8NY78JKnai8TCJmk2GrD/mI35xWUCLMYos+HSnc96gbxje3U68lK8dSMIhKgquEHwAvJvRxTWCy
TWuXY6aovjnGiLmQxHNyPETsD0NIMWW8dpUgacns4vPUo9gIxsU6cZ1+JToISrC43Tv3kuvaNusa
qHT83FoctN2FQPGOY65bGpEXxYH7eXCdW5MunB0COAJDM2rnvmwX796R6CVruJ1QbTkJMkEjGzHT
M/8Kwy9kd1kHm3TajYPV6uIsUGXwZMeHwZTBCcbrBZA/h0rELS/Ia5yNrCVG9yCsNpbso5d2Nktv
HN1yq0RVne31AXHwFSk+MdJr0RIZ05NdttrOzVCbE3vjdfc4cCfo8BKLNuF1O/U5AWmx9gSwfLlW
elT8UXONnChiHgpL+2yVpb3pmij0BIyWG8zlXR+xVHcd6nKRRn4rf8P0k4fCHt6Aqjh0M0xOT7W9
bMfOmDdkwNtn2qQEepnFaUqr+tKiA9LnKlyzlt50Laz3ZVkldA+m4Kkd4zWz5EdZd+4LyTxIjPE/
+iZVwiFdzBYo05S9ohLwNGxM3pIUa/vINfYVc9MN4UD0kO1BfomW7mdKZOSGqkicjMQKfRMv835K
e9L6poL0497Z5KRJsY9b+dZs5tpPpjJ/XfT8VBtOfuw0/Hzd1DP/DRixplWpPlECHQZ8NNtxGILt
QijJNekb+jMGvNh+JMjZdZbX1qHoT1zGBnjEDqibnMcuyd+aatzBkzZea/O9dXS0eqENizqpL+4Y
Z7uaJHCEGsRBmCNdMLl0nyxVBDvZVDQ7xCjPwig/6aSBb125MNHsAwcz6vI1qyFrS/VVwuVgSx0r
xrUQvsU4YaaeKVDcId/nDANPOsKbhL6mNKB5lB3jSKa0l8U1H4lAZPxATNwXJKe/g3ThOEjX7QJt
e6ezlH4tKuM5JASaoTYx7svIxsJXpO3jKm4fB+TxtA8u3B2CYDqEx0HQpTvQQvVxIQqSNE3ILUXk
PE+ha3nuoIc75NnVLpkQtiZJ9FXrZhy0KA99kWXoKFsJxTqzG5pxrJKkiZV7q4id3RTU1bcKHSWk
u4VA3fX/Zc9kLkoySWIWF0tbgwIZPnrVwnnCJLHSkfNDn3NIS/pyXytyLPtoOKIaN64DasnEmsdH
7sN4z60O+goHAhDS/lMQfa+1GZGSCEwEhTRNOBMht6fDSozOTJ/apZbviwhnFcyAL6p8n6MwYdZW
0gQPzJE1oo7OYR/V7P3kMkwjJ0atdp44vtGEZQS4NDPm2Xwxr4VFEBNCMsTqicbdaOu2PzX5ZUaW
xMgG4VC8JBQkddM+jHkuL7r4bbgwkNaxdppQ4bspbO8ubl6c8Qt620cLt/ymZRnx59j5OWQd3e94
cTZol7qXCTvnmWbOozYv72RDdc+h3NLAd4GY1wjAF4MWo0h+41Ky/KaW3wtDf7VC0iyU7qY7fzIR
PM6uVntzOIekcMsHyEC7DrnrPk7Ch0T1L6YxHBMOH1v83sj6ucwtS3sPwtb0I00QZ9dzlKgVZ3Kt
vXacbfks253QDgjt7NPUcvtEujhzvon52LCLlPjYHDLY9vCHmmB4IuWgQwIA42Ae8nehi5DZg7eO
UiyxjDtROJMvcp0cO0pzhu+ON5GwhCN/YHygZTk98R5ZIIrcrHrTqhiGOTPynZl6SaXcjTXWFzLq
g2sUWS70c56FoXZJ29E9QlDodV9mcjig7/hKOhJGDroESgaMxOooZLTPw/3Z/UFbWv00GNqhmJrw
Rkw1MrMueq+lxEfbZnV0q4KRMNuBDMT7z/r1Z2M7gE0hamDDtBUdoWUJHCg2lG1JBX67P6BpC3c9
epz//CxYZrFrOiYktjklNz10khul/3IMw/wRM3xy+38/vz8TOtCbZWggjNs7yE+0U/rKSU7KKi8m
uabXsax/sZGzxNb2vNaQqddpheYnw6QT7IR3Mhx6hNE0hP0aHjA9llQ/YRd9M2Y4Q/C6ak9HWz5o
aUL5VZS+sZAoJVZGoE7U9BZOMV4utHQvKa3JyxBXvtDdZ8taQm8GW0+ga+oFHf0+evGPOZ+sp7EI
tk52iws6ZDKw3kZOXpuqjD8B0fxdjPFniZCPk/+JfjL0b3fm8FzTyulmiWw5pv3emGcxMVrJZYdV
rDvZZc54enwvim+WNXwXDP96wtIPY703BO7LzP6SCcVYLQKNH1oXd6ZZzNmOqs3qm01UhM8tc9RU
2T0K8DrxFjpnG8EpziYHAQb5ZtYIrIhU5JWp/h3MVbuJ3nrxw2ZexEnKxKE42dui1pnaDCHgtSS9
SaMg8n4AsVT0GQTUROXoTAxBVMvBNMvpwWzwjZjWt0WQV2A72PpEjqTCsZ8yK2PEWzU3tQw7jq0o
MaG00Fszg5xxtKsdg6CKVvNfu41U/xTQEvcQt2ORzfqbdphQdn+RqrLRrVAfJBSN+MXo43XZxY74
B9EwfCtwnehz0bLs1ls2DY/WsYJgw7+pZ+upsD2k2pyB6fhBVBWQLwUvZFiKztcCC9LRltehfCnS
aWPPsGl+pJOb43SI1kK6BCUmLOLq3ZS2zY6pFfVwbme+0bccfdd30cj3ZQxgJ5gLqnf14lbYr5f4
fRIY29b7otEjDzROvAaF/FygimKnSLN95CBtr8A25sETs+Ma1fMKuU+nemc1wdmQoPv60N22pkM4
wqoAqGv16jAmcu2OFg+GVM+O1C83BTVqMzVtw7WhJ7Gz9IhGwc8d8lDOvgyKvYUp3ZvHttzqfXfi
b7+MA9Yt2LpnI5ndTVu0Decu8yXCZrwRVqtvq2SgBQpSaVIN8UzpflJj7LF3/FK2fqBs3xmpDs6w
S4+s8DTjox2iWb6BQgCEW2pEoqre5YvaOYhW91Kzn1x7ZKIQ4rIaQH+GQ1htOWdiaJSPfUP30QwK
X0K83OqqQ3gV/7JXKEwLdYphJZjPKfF7tw39LtAxsdvN3lDFA+5ID3C9xZQ+d3Zdqr8xlPzG5xpX
D3LSuMCRPnslBLSt3jGg77UtU2v2mJI2StWaq1+Kql7j+wmQRGz7oGA0kLbHqGsPnDkLpmyKIUxF
0z4dDEh5I7s9hphxTh5b0KLsf+Q2VbXr+nTQ2HCMlVsr2+bFMiib22FXJCYAnrhkbmi2ftHCXlxy
hEmAPpsxbBjQW8mmmtgqQru+gLcCHQC5Dhd2vNExR9SW8NHUbWPkTQT3Vh4I6afSSUwvgOJAZiP+
jZixztxrJgshRH+roL/lCnljHIqVTyw4aVBjb0ZX/9FlKQ64mtI+bTIGwnjRtOodwa/08oqm/QIv
3suDT6VrHLKcXkoDiNJn4P6CD4nYZwJ+zJ95mDFdmb+jbPqesqJtbFWHmwhBDUgFazcG+ls90/Kh
g7GpJ/kZfhkZOa95T3rMgqAeftPBtrtrmTOqDSwacaBhMSuVvlrrTXNU3TG2BpykFPG6M6b7oXpr
kLx4YwdpqV7al3mMw40sUFKWwBpVzJdq6dbObNMjB7svSZL+IGcJnxyLcdHMWzceo73uuK/zdK5l
8M1gJfJhmhAwOpnPOu36yKG5bDqcfOP0K+6SCIaV8bMqw88rpTFxsVwlKRkeZrm85W7+yx7aal+V
wGydY1g133KrD32QT4walku5Ru/QHKIZ0Ux+n3dqN2jDo2iBqiRaQJYJ30UeJJ2fmczNq6SE1me9
ow54C8thPFqd83tY3F9wDsS2zrTd2Dj6XyxFd+37P8Vpti353932JHEW/VOcVpc52dZZFZzwY/uA
775UVoUNokB6FY2h3BuwNmhLGCZrf7BNM4x5qXZNOej72ITjrQkkArGkFe1DqqN/186JD4x/g6gD
4krQ9VqIfG3T/QDBNoMlsiNmCSc8avLYrO0vy41JlorMLS16+vmZeyULI147WjAenMjeLbGXWwxm
NUFdNi4BR5RcXLoeJaoxP//lBa4+vY+fnmXz8nAXsBTqH6R9A6i+vnXD4GRyzAsx1VBNFAjdlxhA
Jy8coM04baaAieMdVZpZHn7A8vbvL+MPjTEfk63r2EMRG4Mm//AdCqyEWoj08ISahiHFkgKXtPwy
V2+lRdGZrV9mBQMzKLPsL/LG9Z/+5weAFc3hm3GkLhBLf1BbEm5nV6iDIS2sI+mWcWESx85WjXh4
lhXOGlrI8Vsbdtq/v2dj/e4//GahWD+5cu/pfh+8cMIpk7LIcsUIKq4fkH0RoK75btCKQxfG+3lc
6bXt9Foszm9YueQ6mY+Y+an2cuyDq3Uvn7LUn7EfXJoCng1Ch3OWNMNVqfJ7blHEo3X4mzz1o6uM
S5pPytEd25Aml8xHeeqc0/JxqYzhyTb0V7TlNK7CkZKhg59Kc3iURLAjzTgg0DMhdXiBsWRwYRmh
B/Uw71AlJqNRXqA7nm0NAmnTt/MBm9RT1VXduQdk0Dfo92yp7ZkbIyJf3vORcNSxTRg4MJrY5Agu
LhjY0crZlkcrOkE9kRh7RtNXCm/x+u/f1J9Xp6MsDmSObhM4h+7jnysMAXG1zidtnXr6xpuWG3ij
y3pbD/3XVlIJxg0NYGEnXxor1Xf//rv/lN7yu22hXM4kykAS/M/fnQXGiPq9tU4C9lKxTO0OkSZu
FDvw7bVt+u+/7c/lylG2KxylLOxGf3iwrE4aNWpJ6xQb2q+xrD6h8f6PWSwVpAr9NdHJWJeXD/cA
1FCp44nisqIn8M+3l9Z5TeejVKc0COxtrCUga5u9aM1iU/Zrs2MdEcQlbf9Qe66qhuRlQ7Lblg5N
wHXkVUOQPsqwer6LRvPKTbxCcqoasR6VytylLFhLF6qHsK1P1NDuX5YP488F1LEUyxcfmCl59uEL
AoYWzGNmmaco0WyI8bTvk7Z5FL0TnibbnQ5CaF8lgzDL5eUiqOo3bj7RY1vliKODQqQC4xP08YaA
MJdxhnUFu/3ZiKvwdSk+Bape9v/+Jf+Py5kUa0a7fOzs9x8/c9eAFbFUyjjRaqDBr5h2KKdec+uG
owhK4ZOHPqPucsJc/0sAoPgfax5Xsk14F2utaX3cD22at/zu3DjdkaV1scwb4aDcGaBdCMk0P2iG
mSg6p8L33jHrWjW1zaRPGzR+w1+u9o9+7XUpwyBjOmQHKUyHcn21/2VVG/QYdKBriVNmEdBxVw8t
q+bnkesv2i/VJ07l3HDUhxq5r3+5s+9GuH9e+y4uHYWgzmZg8+eyspIy9SLST5Wuf6MnWKEckfNX
5exzmT0vMSNoqXJaoME6wtETkMPZ6viPrDc7htSRaeJHI+zD0pfqYZAnOvdwQprKb5YV8gF1aRcz
uHyYTPEIOj7eV4F5Ct1enOGZDCel8NIbg77vVGERD8jIrUJTewvjcCvps2wwjKhdDu8Nza0FP73M
XD8x8+dBdoe+doszQ4nVR6pmA0odK9jBxNoGlw5nrxWBjctaynS3EexlonhL9PAZbHO7g4hgHkcR
HMKVNGgKP7bD6RImhrUfV4NpWGnQnYaZXE150MD4jlqePjcrZpSi9tIO48JczGXY2XKiSnp9ARkw
OJfCzl66MH3s20hwOivEXy6X/7Fh45HmyErujsEB4r6Y/dflUsBBi2ctUKdwNJ3zQnQcSoMfSdQ6
T0Onn50QGUY6oxmA546Xncg9QOuv/RSoo740DJdpsoY1umKjz/ZQbukToGVkWEImXF+rTyAt4HT0
i/GXF67+vOMJyWKVxc7qOtL5aMkMswHZCjXg6S4TVWhMFm3+3Yeh+pHnzZujzaSyK/uaLkuA9Slj
Jl30j51rgqaq2E6R0ADKZJCH8uESAH+m+yxRDzYTfHJNHtMQ46WVfA6ZVm0Hpnx7zM5YjipmDS1j
LeF+lQmUo43QchMyGZN8C5n6SUzV472y6jj3X/LHqTBZGN3J2GZGTA+Z2TKYavk0acxCsuZng3/0
7E8ZWRLAXvtDTQevGWeQbW+OrDCl5LH00WHx/qjuJZ/wQx5MEJ5xgx3KDp2XMsZv/76a/g+7DrAF
hTuOBZWb+O7d/a+rQq/baBkctrDMObg0e26t3dVb5Gz4i9zV7d7h2xSrajQtzRJal01wdIQoInVJ
iWnSv6zu4o8tlYyvdX3FQsTaZn58PXXcMrhs5gUcuhqPdoukwra3U6k3t5ggTqt7Srui9OwK3SOY
qV20oFQvbAZv0JnbSx+L6C+V7p+rPi8JV5PE2e2yW34soJzFQJNN8/BkRLFEZgrLkH5FQGwBRAVB
e8ZAXmdb+nyl3z8frQyPvT4YZ0Ab8i+pROKPen99LWiNhS7X4lV9WPNz3DkAfPX5pEKxsnhUcWy7
eh8zBgRQw5cWGAbSV+aefmdpwrd7Xps2Vg9hmkEyq/NH5voB/01v+qS04rBAonhepuXtL9fVn7uT
RUGxHkowN3FA+Hg0g5wbT1ZljyetWaOiwXMc81C/oI6FU8nY8UADdmSJaYOHIHAPmruvS25tN86j
ixY/ywUTymirT1HYNEcwhv2maZz8ks3jNdpNCH2fq3rKV/P4DfBv9cIKkZ+ZWGI4Gqut0bMMl2lb
+bOZNtuldL8FRfeLPKV8DTAKdpre5eisqsL1owJBuEpMmoursDqqA9gPjkJZaLV7iVLfbG11VDVh
x82c29vOqFuiN8LyrCJa2yjTdsBvSUFuYa8Owi4ONAsk8iALKmBZxD4BA/MD93RBV3I80RsNkDcS
v1EC2TtPkrHw/aHq5m43zKW5vx9ASgZ6qF9ld1lwS+IOKayHBUChP2zz3jY+iZlyPknDT2AivmUt
R9wwzraa2YkjDs7fjY4eZJCLA5uhuYYRTFmr711Sc9Hak1CennVneJnr/pteLngjyOBFaXWJhfbc
GmD5wwkthW2G17D6wsA/wXPguicLytT9JB0Hze+pQMGeuGQ7VewEXrGE4iaymD0uDw6tSRL1v19U
f178SnDSx2/sKgmHZT1t/NdaFRc4ZFBztac4lZzWQM+tNXQ1bh08wDuI6MxF5v//u18JbnvTJtmR
G/ZjvdmFutENU9ScnBRgiFaa16wf3HOiFRn0Qyv2F0fuuw7IyKrKyjHz/EevoHrLufz7+zc+HHCg
EVBqGeyEmMGU/sc9VWD9EHWjTEbT2mttO8WFm4gtWNGwRfa7x75hHq0ouGpmP/urX2PBpn+Ev+h+
TlJtFzUjozJnvMZx8YNChMaxQegBQsdJy6mdXEb5S/QkGf/5JcpsAsBAVaXttpwm428rvfOxvWTy
XixpWZL3AnKBCvaf36eZMak0EW2foqmOfUcjtXXJlX7KIZDlm/ufsSyK0/1ZWmReW83xcbSD5ZSQ
f0Dre33qBEieNpmTZ7tZap+BUy+n+0NMFY/EfaLwbBTUIn6uyMRi+lRSGdTdcjKmlIFC14GBQore
67X00xQDxUM/A8pYGKYkljzFKgHYElXT/32qo0zRQICRClHKUxI581ZZ7e/cnTUIkMvE/t72Htlb
gQKGWEaEEgzIljKZH0yVHhKtYq6dmMEpQ64dOBVvewLh361PZ8xCDCROxfpwf+aCZgedWeg84k6m
WJX6U6E6zDJN8gK2GLd0QPoZZ9HsMFnm3nB0ZDZT9FL3bFqsYijm6te8yxEaa+wCkbHs7ehTlIdq
b9fY2ZgloBfXrHhjNNHr3Zn5H/sVekEsd4QcqAk/UD8zlqkys34EZS7gqAQyh6FoguLrGhKOJDYt
0BZlCEgMLOqElsRguPGciEG8FhFZu2hZtlOQMirIGLCK2WzOLp6gfcYq7c2541zsnIiYUUHxN0Hx
rOvoPFaPZgKnrQoh+2VmFx06jGL3V8kM/Fowez+CoIs93S7USwed0ndTrgaOL0zmkQj5Fqk1F02W
/SVB/MThokJybwCpaTp6TV0xPAZBrb8moe7uQ7TDjekGL3j+vbTmHtK1WrIvtZXmR+B3UPuZ/4e9
89qNHOm29LvMPRskgxaYORfpvVKmVOaGKEvvgiYYfPr5mN093f3j4BjgXA66kVBKqUyVxIyIvfda
37rGMG2f2gzBbA0HeQ1pxTs+7DpsW8YqVoyuDDkipiAGDJMednncWgeuwRjAWIJ4VRjVPpkk9UJH
OR26cb3ruu94Zw8EP1pvyoEQnrexgQeUlryu3ZJoSmtRO7kXN0d5Br0v2YOKzPY4t4jc6KmfwhaW
WB55bwjG7G2GumZfl/ghc2D4fZAazH/id3pET1itaENZziEoEutol84hpthHoz7bW0DVJ52qNaOP
vGqtT1XpvjtV+SnoYoSlQ4KvFFf80R7kziB57SBiCysf2FbPxOLfJLj65Gh/RDjL2bkqnK2STnro
kq3iRbNBTnd+zFXvYY//vUNp5sgOAwlpFJU6RrKXhzFVL7LcqQ3fbPRdDGHoZboc/S7VNDzVFlCk
yiAjIlDIq0hF/IgStt2PAZfRw10cobC9O/C3iXz30u9LTHQ8e/uws4q9StD3abOAuA4aG1sr5Tou
A67X2X6eUca8KTTigPKLBHESd4t2uGLksVhtTQ/dCN0FfwBsPIPNv6eSU78YIXaRC5Eduta8hK5R
HcSI7xkeFZo9DH9bhzAAXNiReEEvwMvPEt5m4W9MgJkZeQ1rxwuKVcbOuw5yRp710dFe8wqZIV43
sh0YnjjFWsxMWKti0R9hvSV1ZVWYWE4REBQHJ65DREPxsvXqGLGtiQRSJheaJQmcR1ahzuQNUYnB
2EmRd5se1chmZIB19Wx4wXADzyHE3yuXwsgPIFDo4Sw4q73OfxKIFJ/R9jUXM00XZQqGkwJh5SUk
MNFS/YVWb7GlARmuWz8TOxLJ/HVh1PExGDtOmV7cvnGuXddB5TxzYsKyEnbXqh+sWyiMDE/EC8ad
coUZijWm66Aij31IQ8WZ1Jl/fwIeB8iWGUz3zK30HQVVwhUAF1r57c51kuBuxJ311PBmailn1zFi
zFOKD35p4KrT2BqXDOZgFDMkG8xPdTPRk6vUW26HETul1pu+iZ8QEAevef6djYEJaycCkL9UPVSS
bWxj20TM6+x7TBZjNCKEuoeT1ZEZ41o7s9Vww5OqOE1FfC6nExAgH2tJ/xWGjdynpYjXcZPD6EaW
dK7r4AW2KwTg8GsyxMcQn8wpDxHBacTvu5Sx9sorLJCIclxY0x+GTqwn3FbnFDX5YRybE1PG7Gy4
bHEydCM8IA26Rt/hWNmwpLwYebxroIYTeBs+1T2hUpM05T7Ks2enotXXN7zx66ZyNoaJJ21AYX6E
e28eY11+YMtnoUKjym97iUUKuwFDEvq2NWfiEAvSNG4KhsH7eCBJDU7XY5qaNaiInKA7N3hw0xXA
VqMlzZfu1S3MxK889jZaEOeCLgCXtDu52xTVVBUz70Y4W591yXG5jTZe5XyJWm2voCHYuz5wOTcX
+ROqe/4MGYlEHaQHJsAK55exjwuMArjF5hsjSRptMJM2pIqGuwTb8hZXTLmP5havRAg7VZpXezDF
jbIFrRp8miclBU5+ZK1okyDvk3tZ76debghkCC4I6IZt7dbJDumWSUocv/q+ILmgzaejK1o858tT
MxRO19ZCa0G6AyrNn14fRDefJTRgDXpt7TgDGTdMiCfujivc15alsiSI5j7rutqrsVfrWXoYTsYc
i080BEQqmtaW3yRkW9/FS0mkAZaR9ALEDlXeDFnQDN+9/EZGpf/Zg7fRAavEr1U7q2xS4ysqtfVD
+1vnKWOWxP1a+h6qwqxIjqHRb9vIcK5l5eitHOWdkvKHnbaHAMjl0TI3DkcpCqPpB3IO3Idl9wzX
i+CH2nIPzgAmNY9vNj3uJ7vThNE00aaIi4vdmeHBlqW5ngVSW1iVBLzFytpzRNsO6ewdOswTK5/W
Jb04qo6EwCdP02bouxGgnukdy7wFJNc6r4+xzNCL/OgZkty0rPoiTBQc/ehdiBM8O4vYeooFMJv8
UmeOPNr5wDg5ijFaj72DME9NB8GrWGWjztC19mmcWBd39M5zUPxo+yy8RciCBA2efT/LezuJnH9G
pMmrnYdTakWbZD5XOmxu6MuQFDuNcWTyDOTFlPD6+HWkQBpoBUEQ0NlLTXjo1cU+YWkruLTS2wQk
G8HtU18fznK4S6ugLZOtnLsLMX4BCakQZMKeHOVlGNI3wlgNY75pW8vaTEhbtxNYXg4cob1lno+m
1VREfDbJJiit54buSDZ8N91dixjBkRH5gWhKVkkEc9A1Mdw7FdZ7r8H6rhYLIw5RfMJSMKhLviEt
ng5NL+4oWquNzmSDCGCIThR56OSxRq+tNpBgg4dmn9ru1zQS4urO3WJUyo62WXyKJuXsmIdaq6TE
c+/j9UnNqj9L33sNi2adO5lxipZUUa+mAs0b9VqJzjwPTrxhiKrXvXYqmsXdwcL2a3M0f6G391Zq
2zwXM3oVFeVHKLAu4+1x3EIoS27ISXZqxt4MoMS/WEOP8USN6Yn+o0UWH6svbcGSgtm9e0b6zjIu
T4rm0ROhwbwBvfoogoQFpM9vw+yGT7ROvBQBZcpEEIElY7+2G7/Q/WuevecH4CTO/en+OIcimt4V
oUgunPcFyziSbqPt5dbgnQ8obgZZ7cdoCgcuzpn0Pacfjog8uk0sgvHZCNXRxNd87QejQwnvQhly
PRL5Ev8pMx25N0oSoaIZ4R3MAoQqXfrNH/P5OKkBx2pYvkgrZ0MrjVcTSNs+E13Icg9McnYVZvA0
OoZT27xUJPYJi/xFds74EDW81jTmH0fRvbYlIdaWil7oFqGHanL7acRkTXsIwIzOOsR8eVAeupyq
BW8T1rxxPqedOT/ZA+ABcsOML1oUTziRBs/wf0UJdGS0VV+ph42NtPtLKpmOtjNd0D63jjKvON84
XBvFYqrCAdY1OI9Gr1MXgT/04LXBN+gANs6xc9szJZsjXZ7yum22jhsKjBvQnX4XAXfACRCPMk7F
XLSCxalOcHw+tK69TcKGjCt46cc0CSZGAcNzIEr/q+INFs7Ygoaiq04x4siXZgkgZDU5pnGA/Xga
Mgzq0bJnUGpNZXLKnE9ea3AerDokyU3XWJseydqpa9r0mJT6HrdzvXOcOfrkJahtJm+l6my8xyM5
Im7WiZs/sytLpN86Tex7JJyn0AVrZylRXMhph9pRhG8wWM8p8r7r0Dr0L7R8drumex5HFJFjM8ND
p354XLcKTfhaSRgu3YDyd/DF9DIpSQdnEOE7u0+4dTV6eIw+O90AJBjRx26kP8hNqPRxNqjzqLDf
nVA5Z6M0MViadrXnL/OREEaXGd2C7cwA/oeoQytZxs8LUqaBdLvS+eQAaBLTa9kDLVD5SOgPxm7a
hsFrEXyOZhcAihW+KvArv3NFeFvLdTcTEfQYFww2tieuNsyLdcQYsQLc0jkLojSXKxpnaK6q6Via
PfukdEDUjGCrl0zbeuA8ULRkVgVFPu/DBZBL2qtzYavR8CFsBEhN9YtWRrhlqgLQVpaEV9kTQQ0W
rohocsUuQ6R3Jb9lh5gnP5cMm46931/sKWlPE0OWwJV3ng7xb6aRMOd5s+9DpBqT2Rt7qXW/ryPz
tWIGcNY0pB/trblLvlcjM9wQ5+uqHKLsgsWapdn23hjBv6lK36SBq8vhBKerLsPxCNfZ6BIU6hKv
p7UnKqEj8QYmQpe5YIHx4LRd0W2jxdWEVb97atqx21dxiM/KCkiT6Mc9/upgZ9P82qRD99XuBwGS
bJyZJqDcWY3xsoZV2vhgIl+OXSoDT5ubIrBvDMumz4WLBUXvyqLwONqSTREp5O1xQ1KYU3U31ff5
Ce7yqeyL+hwQexH3LZjceMLR4TAFqwXzsAciqUc/u0W2RSxaTsoJLagbTJxd5XbyWWQcJKNMftNJ
qDlqo8sidRbCZYn302bu4qUTUcoMGM5j3ItTmbo0zGoX0n4dpBe3JLVrjq9Tm6gdJoBwJRmVIAEH
c+IxZHUTfocV8Og1fQvsZpM6Dr70Dmk03WIEl4fJtn/5UrvX0gwuOsAX0Tl4UlqdqUOCLHNjGuKL
g+J461FRUDSN83rk93fw5bsKWBpswbY+KPXyAEFxNjJ544crCzLbAzOB1Ny6RTpdjW0ir4Y7vBGy
Bainl5A+A4/4qpYYrDG2ChKldpGqp4typ1NADXFqQIANKOu2KH5zqFqePPuZ/WSpoHuhPufyXAyy
ZXobg/IU5KHzhC/3XA/FhOjWie/075cw33brx7G56X1kldpI2otsGyJJZftkESj3cdihKV81Ziyf
OoTogFLX/jh35DG453hM+MuDh9hFbv1FSR74sB66CrbqNFRPOVahjRWjvmxxVazyoH9vB/E2YkPG
ZqSBnThrP4vAhMEgWrPyfyuNBA9aYbdXxWvC5HbfjTr8wlll1TpBscdWyzGXpsa+kBUGmiK7th38
9KXKlJX+vVFaNJ44VoCXO4vR6+yyd5lL15Jo0FtrJxx4h+I1Ej8tYFzYw0mfDWb3QCKd/TGIvkJR
/BZPeGYcX0XbxCZrq7Ao+ydbBFtsltYm6vp4h7PtEOOOyWfRbZ0RdkwSJlecgz8gTGPdoDGw8qzW
JWMNRxCCadxq9lsuaIlZ1uD9mMmw/GLMIr7WSUW1E1hvIZnlXex9FqM7PtlpcZSmX5yztnyJJYWX
Ixy4L9H0TLa7gQLLIBGXYIt1lzbBMe3tczfEetsp4X4drdTdGto9enklnqhFL1zytddNR9Qo9sYg
7mf1OMHVrK5WyvQiRXXMPyncFB4QRn+s0JT08X42/V+JRT8KVyZG7wFZgNK8V0luWic+9WutWHbC
TnzquNZXSaz7o5jHCWeVUW1DU29ZJtJd2quzrRmBjlZ7+x0EuQjIgD9NmywyBQYHuhJT5hQb36Xz
HpFkOI4DOuOqxs5CEo1ZZq8hEZmQdRAOovbdBy0pw+jfmrUwImLZ08jDMJNdcY0RphfNFegdLELz
PP30PeB8s5mFdASnZPEKLgt696PJUnmAJYL1fJy/GXu4PDh+wpuyB3XylK3Wk0jGzQPfBVUAdtKE
bD+2++akbJq1D9Ekg+L85NG8XOUuQBc3nvaOL+nCUtYFVdPtHcWxOywop9iCvBE9b4WxfNWP+daO
6+o09vnXoffSK0f5diU9wd7FuemY1P2z6kNxFJ3PlqLNR9OUTt7yOVPqi1Va8Ua41biL1fhZObLf
qb6oCBsjbRCOu9yGgaLQmxaLSq8Q2iSdeXjs+EMPSaKux52k2moFvjCuSWyoQO2molSfvM4+pg6u
Z9+8YaI13YnwKiL5WCLAi2HVAG463ZF4+itfMik15XYabJIKWWSJ9OzOs2k+z0Fu3ZQEEEJ+IY5t
pXjvUIgGS7FT9NE3qaAmBHLgam6BbARuV6/MUGUnB/TXeg68fbEME028eZRRCjl93e6Zn4hjgz1o
NUPMOEQzxiorar/wNcwv9rDt09S6dKq92WryjobGAE4v/R6e6qc1xBaPbhEJqQqnyzHLzW7TWQ2J
l1732hR291LIzDmWTk8r0Sjv8uYp13l28/gig/q7GRTBthmddh8gTqBREQw7Or7WW8tWdayYetSy
vhcuLDeV4uaL2BAwmB+RNOuXtABvQSrcot9Ir9lL0RLY5A2FtWH5uPueBheg2nhtZyzRc6K9CyfR
UT/RQ94ICcMjg3b6jGaVIV3raYIOVce7MddPApcbxmHS+/BBimcjYLF17C44REBmyAXF0Uit7DKK
WK7cFioMVt9hD/wUQJdbxQzCO2dds+Xiw1YkPk22T5TxwL5m2LSrw9T7rPSPIMGdZRAMdsuI+b6Z
AOqjsPoyuDRNdPHWlbb9wR5n3KboH8F6NGfbHX9Q8ycbTFMlM4s5eWK32jjEsF06QCU7gWt7RVsb
pkLsvEjX3c4snK81i5FOgpPLoYlAIOdbQ1jgO3qDT4HVEO4Syp8u/c44/xBUgbgMg5lcHRZkC03Z
xR4YHwS0Ww5uNf8E7pxgbSDCDhW38x5Fn6mI3ko6Ri91DN06TfKnfihMJhmp3s1JgsFUpWQExOBZ
K9rpRhbpV9mYvH167eLxbgciMxURajM9qcSLu2c8Xu82R6CraC6GnZp7iwQQUnmSfGAa1L7n7tAR
Oy7bz8FiRYhUMz21bW0+K6v6hJ+uueu6+1UN0MhslRX7XBn+x1nbC6FuNm61xvuRq9nZ2ZReh24I
Mw5QRneLp/sABane+0W0EX62pNTkuNpVxFpFAlOOManNLxL19ClKZxqA5E3NWGTw8yCTJUfPodEV
Eqqc2NWryqaPUW1MuwSE7oXAxrNYWiOeHkdO2xRzZS31DR2dvtksZRtjmujqDvpDPsTOfdQ88crh
R2tbxWm36BlCD+34mmDZPHijyZtjuaubaHg1w6PjFeZTQWp57dfWhzhRW982y8+S6cq+AFOxk7XV
f/Db8sjBfzN6uN1X2wivMtcjhBpQkcZXq9GfFdCT9yTEBh6EwZakWbfo80s5IyMLS/fo99CnqOID
rz+T6Qt8mNfGAULsAyPpDL8D+LrB2+5f+O/nz/u4IoVvnfMf+/UWreUebtWZQKB78FZ89H7QDbab
FQkdioCzCpILY6NNzwki3aRrYOzuNmQVhg6gD+CN5UUFT6l6RcfewCqWG1Sze2ez3d62t883nGWr
r0QKrEmx2k5be+ee2mN6T+/je/BJ/AJ7w6m38QAL0s5Z4xHlbvbS9tvBZfSxzctd8G1iXHUwj8VZ
39Xdfus+g3ZnGJnjiSLHQ65pXEfkvdckgO4GtaeXj3sVJQgOEvOW6FKTNZi8JUOz6wCi4ZZiUDk0
QXMAhDjuo2xwsOLLkEQHbRwDVd2w3dW3YEg+q7qceKN6W+bW4lvOQWDFcdYADZr7h7iqL0U+qq91
AwxgmIz6qpHc3Qdlvs9xtevUWHzkgwxlUh1zxkyLj3SS165EgpC7SYu33HE+itGjY5Zx3Myqs8Dw
UfFDvH6EUr/CY6N3915tcGSe7jngquj17j/jpmwb5W3cTrenx03rNO2pBff5+10/yegjNrh+MjuT
Jx9q2ylqO3l63H18lHdcGkNZXizGaScmXxcjuZR0bnetPdWnsPFq5uV89C93JdORw+yOm4xwwVNd
+pA8krjl1mJetpuK4OXxlTny3HXqSjrEVlmdokxcfAaEu8cXo3qsTu0Y1yQOlhelbONvn28qnyYc
HpxKET34uImzqOTNzc1fn3t8BNZmWfbZswtcy9byml3Ffh3NUTuvHz+6mzbUlcx017HVYMMZmlPU
xfVe9+SznM3GHvY1eLfZdf949q5Lq99f518+l7UAnCxZyDVz0g9z1SY76dsYmbok7TdsaBChjLY6
UflUhN8VcGayeY+O0WbpsRMcQgyq7cL8+83jc7EvC1p69dlYfuuPG+ax9E7TMOd28iZwNwYSCWGy
6hN0DWVL9vUpX15IMd7/XTv4/8n+/ynZn7L/b+KSf4fsX1U/u7onU+TnA/h//PF//pdNEBbf9Sfa
P/wNUTsqWddBbo2CC7nNn2h//zfKJ3wfgWeCecIG8hfaP/xNBHB6wG3biz7bR8TzJ9pf/OaEIdAn
pNsB/bv/Htqfl0Ee8jcFshlaKO6h3jNUhJtiPxRof5MDiSQPy94hgaMyjTppicnx6W6fawd+xlZ3
uFjPeKnETzytM4QYwsUCEpux/ftvbWaX8S/fEsr9wZVYGx+ciG7ku2pk3/2KtVPUX2dfjMaPEWK3
JMCXJWcWMziTqRmZ3bRBQLm4YvuDn1o3XtG9StfXZEAj/XhPbULfwdk2yQBtkU19WZWtehdCxYm+
u8kwxWuSimL73CRj8ZQbgWg2kTKwT421Qe6uYwIIvAywBeiMVpyQV2aQaFR8A97qPck2rk1EHNp9
BmJ2TD7JUFRfSDzDAtb7RAxsJNnC9ZrMhtBZgXBwOOWggbB+2npi1tyBQ56QccZls0raqV9IN5iY
aNAMnXcBTJSPydNQITtDFdYXYdfxapk2sWTGLpboMivc1PrqJzKPj2CAskX2UZgQnlWekw+dlIpR
Y+K8OAqDSSbmlnq29q1+4RE2jJ/rKP8G25wABMMJi+Tax2MJqKDwI0bbpuMUoCrmBG4WsqEw+ozd
H66AGXUzm7krSoCmqaVPDHhEthk5OCzuZ1+H9wHDmvogVNCKVx4YNj+8ZEo+xKEqvpuoHLt9l7fA
WzIpG0AFLrO4tXZF/8Xj8BdtBSjCWxmyONp2JN4qC5t2anHkBvyM2Y7OJ8RDeIWTfcod23muyIPC
AkAvol03Vk10fNdG/ofBx8a/q8amn57DAb4ja16WZRvbBsN/kpJ/KkNogdRoY3U2/VBn7r3mjj3G
Tbepp9nuZds1y7jUJh4arETNuXpI5k6vUmOs7qCxjOCX6yvRrYxwViA3J/px8Exq3BkrP5U+Z/8x
jVPjDPwJCzKpS5TsTtPMAbRsbyRqCSOvInQH31+wzwJF76MpwDRvI7MrgRPQTrIPIGqWqBjKLfPW
NKP1ipfczmgFu6q9Fuie46sxxZP/XrkQYw7Qf4LgFLGiCIfBnzfM+TY1G/4qakWbRVGekYxra4aa
HtbaUz7HxqfGKfXr6AvxYkFv2WLMZOsD7nw3fR1feAcwKeldlwaXSctq6ov0R0G295shiZNSFQQm
ZNHpt3YEdTcZtnum/dfQHXUiCuqy2tvN1G99NNhbStS6Wc1mJbdJ0YuzI632mqJpR1VD48XIZwxs
qTG9FdKz9yoN6nPpt/5lSsx8H0aq3MQW4ZpR65RH6cbq1WvjaENFqdcg0LJDPAj7aEax+27qNkpW
SZi6ePLET6dU+ivyUHlzjNF5JvQpelYj6aiAzKrnphpjfh9dQtt/7J6DOh6+jYXVHAczFa8JRS9K
nMFPrkEx8UBAL3vSGK1PZdWlZIdkTEg1bxVwYvlOhCmInCArO9g2FVKQNM7R1nIWA3oXX+KaHNAV
QknqWVbIJ7wW1ZdqcrJtO4Tx3fMkMlaZRVvfJagWbniwnfUkYdXZHXNfBi0hCgAsD728Ci7F/Qit
budgJriPTmR8tVNA5+1QN+/wG/p7MGRU3JWh4Zdl0PpQcR29zCxYG8h9ct3UuWM0t6GzJU55y/ET
bJIsM3+VZla9yqHsbhbpzEA4sMB4yDZK+0jom/ERaSuwkNEvaAxojUnZTHJwsaLA4T7SeoWKHm9s
hkDM3kLksiPzk6xG8EU3hP6fIPAAigJvc8zQ08vstcPOizD+eZRiGBxgdR+i2A7WNnOHfV6Swh10
Lmj0ksbBink7pg4aCt8Hy864QjAxS0ItXpn0ezc5uR2ApKTeRvx9Dhih3CM4ueloN70BVSQzdiTM
i1ObWkt2uHKZ5drT1cjsgt1KQ0/rwTFHZbiAoF3/u1QO8ddzm15MsbTwZYOowRbNXgUka4g0bCFx
evIWyJ7JoW6SD1FX6GsyoEm0bZNApXma9j2Y722I1/jkLombGa13eG2evUGHZ++HxIEaVergHSVD
Bgcuc884amhw5BhskM9Mz1GJAJ/fgc+SXGUZNW9d70NzmeMDZaavgXAsJDdmryU9pdqemx09wHRT
SSfZGbFVHVu7xkjgRf3N1w2erUIPJzJeliQ76C896+Z2in2a9PVoHWZvjAD/xSOSThxNbAgBdAUH
W3o8R/u2aegIOoSp9BAkf9Brgm+RdQyxfOgSVVCXe+RB6brJM+QtJTjFIFDT0cghzWXzwAQrwwAp
/IG/uNbjMWECeqjKASSSEJQPpo9WHQnYRx+h24dcBvaTEflEXSWxv1dhRoZ8j4M0MrBs8/ZmEe11
RIuM3QKtld61jgh+JY4Zn63UzHfGbMgXKHH0tV0woZmCfYMiEuVAOSM4nQMiRrXHNAke3WmYscpm
46Ce4AY3W2Mox5vFyrGfwZhuC9+L1vM0xvvMIdm3IjoVbCsJBq4B1ZU2QzrRChHjOq3i7IQ5vrsu
iXN4WMSwQCGLzRRGYiNqUmXCAdsaUWZqPse1x7F9TmD6IQMEoTcuTDFvPg4ZTXVvJu3AB6u4YcZP
59DinVE6lSZNWXabqQq5hlMpd32WAd2pFOCmzBz2iSqXDUQh7GG/Y7BguiD0LK7SMos3xRShl8pm
3KiQBrJtNprsodIsLqkehhfDAMrvlnN1mK3aO/Ya17nhEtdMNYT2U7LMdCI0DjTu3S0yimmbVt6w
n3NvJLhQ593XWjawvMzR2Vf1JIBMTIPC4dg2yTMxjs2xCIIEF0fQyY+g/OedUHNzc0hSLHagNW1/
k8WUc7su77roOqXI6jcmacHDLrG8wD0QHKXmS8AviYFhSxrd2+TMDXVUNMh+49CYu7KpF/VaWEub
2nM0LUHgFEO6y5zQau0VQnztRs1KxoOhzctAIta3eB4dm3HM42j/P10F7X/WS+xX97+XJ/5eN1oi
iOn/7Z93Sd/643WXmuIfd7aPQuJ5+Cn1y0+qQr6VJ4p/1ssj/6tf/KMc+U/rGyTj/3F9w4mQ/5sm
/WeF8/i+Pyuc4DeCMiwLm55veaSN4Tz7s8KxfvMcTn+WTdXxR2qZcH9jbiIwy7o8CyZU5Pl/lDbC
/I02pm/hL8GL7/lu8N9JLbOhkPyztsHl4IYEEAZYaASJhP/q80n9tHXzBpBGMZKbGKr+y+B4N+od
JJ7VFJ0C3kch+ox9OWGlydLqGE9Qet0+MQ/StglHbTiUQ9PJAX1hi5mfwqhHoms0X4upRgJtDT+n
MmKpjhlW5yUBSCpWv8Z6afVSaLBfY7KK83nHjAzQFEjVWO+1L4dtYow3kX0ydb3L4W5vOLYSYCz9
RVjrLEldvySthN3kxmdHlTD17wy6QIg03ZeyRSBDX9HfafQLSHdWyfA9TkSy7gPn1aumcS1T9Auk
q+abaIbwYkbzoQR/NQ0NR7Al5IxRsXHwFlVjlqMWmI2q2mUgk0MjKm654eZ3duBh7czM0FP0U6xw
2KWsMv5uSCtkLt+Lt74X6YEt53MisvQW1mNy8yPKqN5iQ/OnSF847iuEcaMJKKw84uKD2lx1jQ3/
2jC2XYjfDC21SfgFEYiw8/nhcNJtXZEcAoBTq1QX/dXG0K9DuLluPl41i/ihRmNQRqm6F8n8Str5
AnPK89fA/DaN9RHX5/hTopmbu4gB0YCiKMRMYFgR3X/EL5tWbVoEAztVk0SCIqDc5J79XhF7vrEt
/WY1ld6HneSJ6pbkD+2jZBujDalr50Cp6T77/EEbkeh9PeX1cdEuurNRXFiP8GTxxCIwBFZZ+VUk
NRgEHq375ObWc3ie0pcyKs5B5LQ0doxgZfKEWdm6DIiAjSts/sAcsnolGiM8aJmfotCWe2zzxOAK
66QLWpl+EBMy26ffR+KQOGNwYybqjxuaT5iS/t/dx1cfj3t87t+7+/hC5GQmaCTn8rhn4JRelyM7
hcyGRfb+z9d4PF/z+Mrjw7mkk9fG3stfr/v4MZws6MmIGT62oivhevzjB308J2H0hLH0WEb+4x/v
8b2P70DSTxybiWv98R1/feFxN85ipr6PD//28/3+SGN+dz38e3GckwD+1wP/9uHjgY+XmQFTYvMl
x8gu6zW0dPPyuOksG9LNHOADU+w3iqQIBDfMkEed9ycybakeYngd5QWRQP63GwNzBnhrZJbwvep1
XDhLb5vPIQC0diLa+636/Piex2eHAFs8+eJ4aWPn5AICYlevt61t0wQWWdsd9HhJDCqvqa6YmXEp
WWZpXCL4IZfHRwKO1JaMPInXeOrPKI1PKlTzkSGV2hJrtKryulyZ1gFoorhQcoqLsdyEbmpfmNfG
nI83bFAf4WTh3Fi+ZPc2rFWC/iLf0OfKcPlV04DZjY1yLnHsOZfHR8xjI/zi+mVRwHfU9pHBhTVD
XLvElTGuI8xgsEv+/JwPz1YMtKSn5RFaRt9lmDAoz8UB1ZN3bsqKWDbFpM9KcnRjy+99nhLoZ1mD
uDIh+iXMdkhmSLLoXPRvRWBeHo963JhIwH+/i2ox2zcq/4ShqmbxLL6qqC33gjSsVRTq6jT7ULuD
0D13FMAdUTaHkuSU3oqZzjvVd/gUALHarNxVptXAcsvfibIgR6JVJVnzdA50XdqgyZANiBndiu/5
00WjdNyHZf1WVnq61MvNlNm4/SwmwnA/post79Sx4kzoY3lSbnJL7qlyPLhucC3NsXaPpHiDk69Q
TS4345TB+yXcypwQbBZojINOkLnh84RjynHUS/P6KqovOEuLC0d9U+GukMziiaY25ouhrfliEi94
6bIyP85wk5KZTz0+D460XZlOQKbB8rBsufIfH31rwb2EAcldxVEZYNKo+VmnFn1rFaqhZw5LEJBj
Qt/uS29tQvG2UvTII3FtlyjkJ4lnIzswhMB19Urk5Spn3bjoCRy6LtXBIeai2RC5ILYVaj4Azhir
GuG+Py4sKRjSeQlBEcgCi2vr1OV17jBNYtOQ1ArcJTi622lc5/+XuvNajlzJruiv6AeggDevMOXI
YtG7FwTZ7E4kvHdfrwVeabrvhEITitCLHqanebtYLFYBmXnO2Xttf1SX4gygpgonhyBxehyB3cXC
B6d5Bz7htuXYFVUOkMUqGwk9F/DjIQznxyFDBghsbaMMCu3iWPhccYW8SOY9ByIQLuDTtYO+9dln
/GyMOqysOs3kKp8orsrTEoOnEe007la0PFHTGziu0u0xU0eD/vtvf/3H319/f2OqVsl/PvKfHv79
pc7HswMRdfn+0Y7eOwC1JdS/7al/f8MfT/3XX0sGE12sJwSl/eOVfP+87x+/FuDPMM/HdSBsCVn1
94v44/Ft2WmBjlUrECqxiL7S0MX9/sPd5ki/v2RE0eIy/Nt/+/7XYTSTvWkyYnX30HMIdY8BnJXC
uTGGBslOPkeoJ7nh7E+6rJ+Iz5tQJTHEXp13xlHjeUjBi2UEWDC8fLXAjM38Nsd8hkhhmWAJNrBV
iJJmj/t0hGeaOWE923yHjlKzN/NoXiXDvjxfjkWtvdDJOdr0S6DNQyeCbacnmiD/s74f7fKQlMt9
rwG8wpvO76wkF4Xx+0B0dEbgJukZGpjKEVEAUKjIFoUWYIUkNVBbyfrK8ZXJuD8Qtto5cRVq2slL
O5wdNFOPCDtQ8jLe63qevkI0bDuodC2hv04lQdVUn84Oa3SB9v/s6A0uoL57xBsPyOwlGYfZZ1/u
D1DksaWazUxHw71JMZdmWQIht1Dei7oYcdAi7BOze2iSTMfmoRUhIG2sodi/rwecgZB42D1VOM5a
pY187Ee0toNfjp3HeHzsAki3MrCq+JgBqeOIQkM1buYjxn2UGjKBGtlQQRvgOjhIGsfEGhea7eoc
aU2n+BDngHF3/ew3iKlD2U3QPjmBxZtGJDOcO4XPoZVdeoB6Lv0iEyr3SIdWN0l4E6b8ox67Y7ZY
+0FgbcmML7mZRwr1wdZAJ6LbPi+KQUul6F5RImB1ic0xkkuGXghzdZwX7ZGwKJK2FWWLTMoeax3L
1rwyYO9X+53yUECNarvdxOXJWcy+XYg9uUZO+14+OwMxomtOa0ipOswU8J2+ieWz8zk5SH50Yiky
jJr72qaL4zHLYEI8hfqkcKiYAS+TXcRvX7/TNkpC7+y4021NKzuKB4IzNTKT6DQf0NLWQZ6iBXT7
F4gbP5PBO6AcbEKHih5HhH30VoPMeWbdbSlmX73SgM2fey7HXnoq8naPooFWJrVH5eekNZmV2j4B
VE08+uJ99cuhMQstbVCv8MxNU/lRAZEKO7U6tASNMAbvr73UvqaxnJwJotjT3mR3s+cAsyXIFgCh
I0rOK0OOSBXRdTaa8T6vy3Jn0y9vk6w9y4lrCcUm/QPi9ayeC9St1UurjA/FcMK3o2HJtDk+rxY4
3xiLmG1ua7L35CXKEDXk0kFzjn3i9/K9RK1iGDxQtdzKT9JC2RL1RJiJ+TqbHAO2tLdPLP7fI+BA
F09a4zybacstFYvD2KrGYZj0QzLYEv4sbY/SOYulbEJPPaGqz6NKq4h95TVayElKSwAdIuauEOlw
GIzpoIHMNGJO2YRRhoZ6GJHAPHtW/4Q27WO24YaA/xJ0dXRjD9S1MUzbV3qWFQsfPe2yREAdIfUB
m6oTEef4NHcGdvGO9JM6J1eqbbI9ijY75b1dSyC4+rS3SgO3AhF5O2YA5lWaXWzybf0mSVxcesTn
1eSpzhgwKY6I0PHEa4xq5zh18+vEtATfZn+TIB++htj75vak9wBtI1+XTFYNYvzBnj3lY07afFfi
momh04fFwutOsQMEVlPIqCD4uIANvbNE9mzlZA3rSSUDvU7IcPR4f4ZliRYjVVCPtwyP1KQOpSv0
iByz83bEoW0Y2Fae7yHv9D5Mf7hhiOoqITYJ+LIiPFTOyLBkzLKfKeNO6yvsuJO4R4PoIs0dia1w
uB4VVJ20coCpa06Fnw0rIif5cnayYP5wRVn6wB68g8UaQpuXRMySVAki1Ra/1BEsxK13dNVfJDPF
B+kUCCWEwOidNfzuQ3rRcJxRhPPW6tq+7HK62w7CbYVPI7UmERiy/hLWddp/ugb0dhPXdVjK+Z2K
lUkQ+G70i6xVboI0k6NdfFhrD+1LXHEFG+O5dQhuZVwQKqbNs3aqcdaGwic4fiRFckV4mk33yeq8
YTFABmG68Ou2Fa/bNA99k75qZdtHeYxmh/PTKppsSxBMNg5FwcKeB2S+bnnBYKXRUn6J4eSucfyA
toEMrNuC+GSSrYXrL8L8RRTjt9BnOKDPYxhin1ippsT33oyNAZKT1scc511X2vS04PdBR8bS3Ly1
JZuS2fe/aolVveCNxv0y6mGylaOJDjBEQRe65vKRTCMqi6K4NbakRqkWP2KNHdBDYKu1ZGo1Frkg
E5D3ikC2Tb8nICQb6M5M0F8o8Iaw2kDkRIGVQdHhX9BKBmM5KWQuuezSvaf7eRbqvZiGs4o2E1qr
gk9EtGRc5iwnqvkm9PwZfzstbi31vZkGek74xzoSDm1PDFSIC6TybCzi9UqrrkLI+nDkIEXhhgGI
EqfRUtrvZjH0wab2SLVuU4r+0EmmDQdz6jGBy6vYacpA7TziLqqgyQzEIvYtWW7BoJCK0qauQ5NU
q3e3tVsx3Gjsh9JV77Jyi0ROkgm8f/eVl+KA+wS/62z9sGkO35vKT7cYDwO4o/u5saS/Ug3ZhAka
jXaorfG1TTlYuGibdMHJvxAfJf70QMma0S8SwRF5BQO8xQNiHKuwBiw68UJrLX9Ojflm9/RNWERm
rElxRiAFD4/jq3xLn8qFzodI2I/nIltjYyxDe2TZrTf7fuHOARxQ0Mhp8uZIvPa4oXxjprGlG+Vj
UtK0EU91sX4la51FmbkMO+AcrysYgEOVbNmr66Wq+FwTAXmMsgG5z/zeo2RjiLbg6UYOk8z3sukD
TZQ/7HIN2xRFc82zKgcCqN6xS2Sh1W+xRyOJPmmLjD+ViMyxaBSZyWDcXNabMW5hL2bVO6xn5KfZ
/TIhKrdwv8keUM24tHsGGhadOPHECI/c6O3IpWPK8s2WDVpLqU7zrfZdLY/wPM89OY3Yg7lAYWSd
GXUx5W9AvXnWuGtsu9l5Qu68DAgw0XwBGVQyarv1hXzs2h9tSqAZKwrhiN5lcRdgrpZxNTqIKZnx
4ST3Yr9pvXU/E4MDuiFm7DxflumXZfTtbi6UEhJwZu7clXEuUbMvA8JCOt/mQzmoz0vSGns3oYRP
hzPWHeNKGCd049PxPctWhH02sdGyxeAFjEyfJ0A4Ov7vxWxePYdNtbCcn0pf/RREP254Ys+vE8kg
vavSKCn0iniYm4ooUWKFaHUoXozZ1aT6TFx5NN2jWbvuwRW4mGNyV4AlTP11e5d2qxpKSVxV7lYr
agGTgFBCdp2GpL+KqIgrxgNPB0Ot3ms7EmtuHJUpvZWmAE1PnF5QoJ4uPVRdhLWb2H82m2PXx5yv
4wODdHGZDCY69Rh0RWs/yMH8pYOC8mcpLBSMwNVYikfY7Wp3zbmuyrTPhEPTAK0AJmZr7dLGcf2c
onRHONO8ngc83Q13/wnJL30HfvUlnffT4LxkMcqOTC/GcMD2HGXGtQZNtYCNearWdo7KYpJHuDhn
VRFPZdUg2l/d1m9RW4SOXbwp1vLQjwyQ7blBTeu1bzTD7SPIoRScUab/GOjMhJa+ymNv6M/T0ly1
qFBDrTVcwmUvOVoiMhxLdt3hyksHNkVFoOOoCVQdcZ3A8PKJ0jIjo25IiUWJm8YVGW1euMy2wDW3
MAPEy+qPze2oJ/eqZxahi6ovKOf+URXXtlaOMB4BPXTzGhU6M6hCVyx8pmQuiAJCtjlvHFmwFbRK
X7qYKNUebmZmUeEgIb9xOjqBMHAudoEyZWVWnAnrFrHTlVX0Zy3h5XCoOvM+EQ8UX/QEAJTduy8L
Moxwrrrn2pvus9p8boyBE2/vjWGpZPe5RlxEUi9WlEeaBASWvOfM7fFC5WOYpcTYoFihtbFf5gms
Z+weaiU5q27jXK1Daoc+eof01LlQFfSdanQlLiZ92hmAJH27tY6NNhKANpQ3eYdTa1st6ppwDWHE
xqGjy5/splF/BRWQBigSkqg29Ju5BDE5JpnBUVq4kafoXzUOzSuKIED/NP9rZHnealXwxY/tzNM5
SX3F+NKF1IJkFT/V80jv+sVO+vo0G+6KFNHHE1J+GfnD0GQw7IVw972b3UudeKClJcMLFagZ1uIn
CcPTdSMGRq8Do9V6DlWH5Bm3dim+8HBF6KZLPsWy2EHDOswFmyJRtpyKthZWf3Dpk0dUPXaQcSY2
CxKYG5v04WGuDnFHc8Fm6QC+mwVjopP9G1+EY56z1B13XMmM1+fpUceE2bqdG8QLFNbcUx4dT3Tg
yBmSZ92xQg7jrQOno/44pcUBvf6VW4HAR7VQsLVuWWS2g03PHMjNbVGnTrrFMZ8WKU5RZ09ZeSQs
7VesjvlBYmtlJUfuXYI/gFPF4WP1Ts2w4rhCOr0f2QsZr2Zz0HgYIIeqf0y7Tj91CUUPETzaVTG2
uOwBLJkq+jGB3QnYwQ6n2qNmGwCkmv5+diBZinGjNw82vThc7P4GJsNyF3Yx2/vgnMahK3eOXDgE
bxkMOReURsYx/MOG9AkLO480iwiADltgneJxBBSBwR+JL7tlQ9CPD2fqp6PqEheqeJPpwUVGxGZn
puiNrHfsgKwfZD5oWYyR03E+FlHngZsPnIPJXxlQmHv0mwOBPzdYUOqoJtQc3jFKG8P2l3U6jLP9
2MYwbbUB2mbdE91rsfQj5nkTGLeu4tJ9FnE78B6XdGu2NBljoHhWS0RWBPJCXUjuam3F4YExdVYZ
E6/Nu0HLWuue2xx7Ocq16rxKZeEjes2WhGq2VT5bmhSaOhvXndbATFlBBoqdWzTOvZJDJKX7furL
uaYNuMS0Icyf3iqel45osyKBEcQ9BA3J2CTRXbGxJJ7X5gbMKca1pKxuAVI0u5WzeVS2zyV5Y+wn
NHIcJd/1JkCSHN4xqTeoo4vUDZtVjffjVDwaIh6iuedYqqvlS2fQA17hRa7ZSiQOyl1djUqGRvWS
3yV8YvS4U/b5W2PiCN2r9CDmmbAOz74zm/QX9tzLWIyPuM2cyLEZeWg9IVHclSkF1xgZHx34SCAc
No5pBAHhathtYC7yMacyO4Jau4fWeSqdeS9d/dyqcbpn/kd6MhavVOKDMIodw8lnuqIgX8z+vt9u
UvqR4UK9iE7fPE2wvq+QkWWfhMdsl5qJYW5aGNMZsbeTuPHSQUE4l5hos9aDi6ANaTEJMl7Plekx
Ut2rzrSbUvN5sgWh1VZHVZasv1a0bVGvoLJocAw1P2Ix7o1ketjiVAYxf1nrMO8TeFut24AiQDOD
SQbeu7HFIcXeLxB5865urPfVyLUD2yYS+rxbAoYnFy6LPioW7BQov2H/FPgOu213dBcFQRLYGa/5
JLIME1H9aACr2MkYtMgANartsjtVNR+nfN5S6buCnr3z0ugZQ0gkEX6hRQ5pOIFcPzUTHt3ctFdJ
6+GKsygVRWvqPnEPUW7a6TUSe/AsM5XOVF2IaI65rz2oORNgp9rIX1vDqKOk1gwcjWbnazpdW3os
StCUnncoBtAQKoww4SxHo3U4WqtoFswvRDqPbT5ccrRw0Knmj5IwJF9b3CayDQycfXemPRmCy8kP
SvEwdp8pjlsCGYx3fN4gR5i9anIAWqZ26tGevzhjpg+OzbTRGkbYGdUR5QhdwNqjKJ+iMUmjzLIo
2iSCGkEXzMcz321T0Z/ruOX/mRgyHE7kTdfReSlvQe54fgIRKQRIx0tjxa5B4EICqrSDlfLr56rx
lQkEOYjUv3oo2gf0vTDDcYaFyxAzuOJ46Tssnv6sQFbOWdBCpVfoS4oSgnBFhhpWYtVeWjIiOR/i
s93XrthzA/laOg0nVDHyCN9o50roVFmOxzVtlqelBy3GvB6WHGnevWxwt40pKdAmM6jKbfbJwCuu
rNXyx1KT16Zy7iAVc7wuLmbaXS8lzcPWyTD50Do+oSDmcjReKhxIEQm8zB/QakmOrxaUIHPAXdgr
Ezg1zTlwx9A16DMkoyl75tS2eJF7oGmFsmtSbXOUeljSNe+2z9U321LHQANfNY6Vd23YT7nEb5J3
W3mUgkEo1SFkfdoXavlBZXVe1aO+Ku5larybGVdP6M3Ke1/TCxvpFOwXF1GtkXdnBa5BMINaiBaL
rOqK8C3fKm/G8kvia/Kt6YhQsed3IhhxBHE+euYPaQ9FmFQPRn47DQtmeJRRUR2LPqoV4K1KacZB
Yy2knNBlUJR71ziggaIORdjEIbAIaQLRN1dvXbql+5L4Ty6oiUN9bpylaT/ijdxbbj/s2yVvw3pc
HUD62PNAmVJBX9sx7U7sp1Vo1Npd6S5XVorYpsYXe5T5fNbBg4e1SevRkhXW2JpuNCapbpaRIcu7
NdM/mE3pvkNuzDIjscPKo2WSLvQEP0Wqn23iiXvWZvJJYpooHoP+LWh6l1MoRURYS6Tlt7IAcYEX
H1AWkLJBkP2pFEdtzdqDboy3TP47pjiIp9NU49SAq2u35DSqxybjXizJFpvHFxLv+2jtM97gbMAf
1ZOq0/TJMycRI9S5qPETBkmTy+Pa0VJdlPcYxHfcmeOrs9h7RR2nW9kBCjNt1IaLSkY0YjFYxBAh
9pWbkHZALHzAeGDYs4tv8qn5w+FKYCBx6NVk5Pro0DuYuQhs/doCReeLpXoatjnRtyVk2DwlVkEa
018Wke+vv/+l3Rwjvx/z/S2uUNzM/37M99e/H/37v0mm2Ni+pcqtwDOUCIPXoFhR2Smu/vDH0/z1
U//bp3RzQpfUpdPDvx70/ezshltW+faC/3iWzZsEPDLllAbnIonjw5i5ggPv9iv+fn1/PU+Jm4iU
GA828/Ybf/9z2w7kB6sS3uvfn/n7678e+P2bdK71kWAqjb6fOqH1xDP846f8/lHfb9z3l0lRJgS5
QyD6/vL3O6paWrmXhnYlW+UpJiSJaSO9SpnW78DgIDWpNlmC6CBp3o2JP+YKlcvIjjnrOpVkxqar
wxQqRopizsx3N3A51dCdde+YGoQVqnDMRU8nDETJU84Kl6ImNTXxg5IfzEmVNrhnh4lkvYVlvsiJ
MWJ8DzNTiYc0nBcUynZZPnlDc1gM9CwW+uIRETMeW2tFcGoN2Y2qbiOTBYLiojhEZIlrfJdXY5P+
2EYY7UKATDrU59pYP0iAI/Kzsa4n3dx7aEkgfZJvtCNw7sYo8DHmK2FGBgq9kGy8dMvp9acivlUN
FtTUQSFgkNRNfQTEbK0dbE0cAL0L1G56ruOGNYW8lnonuHJFJA2zD6S9H5jF+yVmhFmuY2DbSKhB
/V9NffEJmqsKK0ZcRu1EQoWN4hndU1+CwRYZ4xqHi9Y38vnIxnZQandPIw0skr18GPTylkl5Raej
BEKfr5HmBMRCU/e6BEtZst3XCOOjJDF2+N/ekOVQOfQ7dIkkPgHGM+cujuTUMjI36+cit7+qyZjD
sVm+JqeA+5qZLNxGNfqpYA8EiVRE4/qaCP2xyjne1qxkmPNr4jBfBpUu6EwYNnlGaINlgEvTOkyb
86HUIB66LQP0VK41uiN336j4WGGmxbHUwnahM2AaMFiHntV0zCk3BkfTjv1kev6qDK/NRHaaY2aP
U8y5wq7TgGHP2woSmUaawzgKLkgohvxzYVODLLhFhYHy0aQ94afTQ2lCRaPF2RCNCOmEqTzqzxuW
MQBGiBesXlHQLVu8+MYjLCC+g4NtMSPDLDl39vNEYioMVRsoYN7s+mXHvzJmIgcK02t16VfvGffI
CYTkRzFLsGtMLc0E+PGMndTSchMtj0N60aZ5smun8/9QH97+5Ur6t3Ig+1eWfYeVCnXin2Yl5ri2
DgvBxBvFUQldH//+h1kpiRGAyoHmFNkUhl+MindyMiYLUstvcxV1hzTjRws/eKQUJXnmfRLvQPLb
+2KotEAxjkjwCXPHSwLharjSCsW7M+fFnxOnuGRcCJXTPbAUiH/xwr9dVH+4rL5fuK1yORByYtj0
/f/+wldZtvZCj/bIIDg7KraFXIN2nj9DFiQrgCzYLnWZ6efJxUoTwqINcgL/5zfvnwns22ug/8H/
Nimkyynv769BNjK156SA/Tv0ywXj/zHT0uTIyU8LPBDHhwo8KMCVBxdU61kO6glUNkTEfwHL/+fw
oO/XAQjawyanIu21N9XmHx9iVi2L2WaOwHMb48iBWXTcXOCdyiI4denruGLHrHL7UXNFc4angBqb
ZstY40qOO+U8en1zzYHe/4YwCwQz7Fc5O7qGodoULNMoQrVzTFhzbFqAYyb020qnI2xnHk6GRBOW
2EOjCvOV7Y7jYYawkHmVc/39h9z+1ufr6//89v831+5msTM1EH9bcpKzXdt//NqD2rskbifiaGs6
UHZQW1HqkYaoCWdXY9hOzBWCRjNRW8ITsPT6SMY68/185dg+X5eFIGpcncyDZhXjEV4xBB2BraOt
43EPG0w/DPr0MMSgmr5f+f+18PkMALbqql/936XO3/Ll3zro/1/y6H9l/wQEObT/rI3+u/tT9XAH
Orq9rVy/hdHWvzsO2meb2/AfymhT/Xdb0zSWCYcKHjUnV8h/KaNtRNOmrjo8QHVRWZn/O2W0vmUq
/bEewT538Kmq2ImRjhqMhf9+MbaanTZDI5ITEKzANQW9obLfZ0InnCLRe7irOckmWbz//ur7D5RP
Uauq6UFdsvo4al/fTurvP1w4MUA/Nme1SrUfqP16k8ki5CKl4dXn9gEZ2XuvxgktlbK91hgIJ0bx
0+4QQrI0nlVYxnKkYb9s84EWzSLfnl7TkQjFrENCGLQLEEQJXViQJFwm6P7J5i4p8qJFY2Nzh/Vh
JN95X6/r1TBQPduZ7R1jRaUN6hYTSpcQaXHjd0RshfTv0ZHBNbxkWWRPzmmb0Lyo86kEiYelLyf0
gG8u40/8gzYEzphgb6o1icOpo7VHZjqaGub+ge4uZYiM3PaNYZ5OuhUzNY3rMZoVTE698IxDchxb
LfanBr2W20w7XZEeXYEskN03CxHb4SjmvQYwfRbJh4Z2zx9aTCBzrf409EfYIJhEllKP8JtmUWcz
DmKTVPzVZdRXmY2I8q0ZW49PtAMRgcdWG7n6stuo/gaCb0KDftmpc58hHj32aBjkaIJRMhz00+LW
rZdjr6W0m21wuIAOAhNRjKYP454Yyc4FXyLoPstIdaAqolXYrLR1SNB3fJ5izjOJLuKIkcutozga
pTfGWy/rUIEwQpdAKX1grK3vrLwfWZzByksHcjun8UTJcioquObD+tHpu7mZfs4eBEaiPCkd7R4j
VpuHOGIZElT5gzV52I+xGVYl1p+mp7fiiUT1WbTnaHXAIbl47jAVtUBpFZxKiZKf1vmOyIfkkNeo
EzLHfPSKFvZBD4J0dM+bDwwrnXPlYOa7Epbxc1wLOmPoLsNJ4+NVLOVWjrxMKgfmNHugdlw4Ob1c
p+2A+Q4Ore1sRMlkEikhagaBAB6WI4MZGWWtdreu0MarVE8eXYVAYlh2gd4YKKNylaNZ3ysXVefN
zHAA04p4mweLIQGO8SDfug+aXUZkMehkVxP8R3EmlLzaw6JLTmVHLyG/W5Lc4xWoJGMwv0FFYT3R
yeDV69aJ+PoiqIBMhSMNe0XXgt4w2ntbpAYfWhMkPfeZi/zvyLB/AeuIm9U1v/JYK96BwXeNBWW0
OJkLMxUNLbOprZT37qNYyzetHOAaSQkpQ8bYG6p7QarArjK7g2eUgMsUmBq6bdL8XfYcaIqdxWBl
j5cQPBOfXqLAmFRHBFJJRa9l0XcaE7BR4sUmQZwsYW6eBp9Cv3TKHnLV2O6HVdwas73TLXtnmwPV
Lb0hjsXboEMnK510jUPt6IwLNp9vrdKuhgQG9lHs6rygtQGpXjcAoeRJdtY1eUHJVUVmIKUx3RTL
U98p696q2yJQ3INeKOLB4OHnlNBvVXXfnNE94rVuQk1xrqvCvJ0LLmTcZuNVrVufKnM+uVb13iaD
OLiW9cjRnb/7rgV8RcgnOSExGLI22Qk4wLFG85+gGbFBYBCU9IFawh/LBwVbZ0HnorBuOQasl7Hr
XpUxeUnNDE21WS3R2jXVsY3dHULEkNH9J3oBevR2vkP4DF1rXSKBiwtLs/ohaHgxCogLibebQi6i
M/8rycfTgKk7Jn/8RkdI4k+MhGghURa0M2GK9bImoa4iKY9RCwUNWFcfShXRKw0mQkYtPbrrIHcm
5GjyYK2UdGauXa2rfTFkXDO7q+soG7pPs2CMXnneT9mYrwOg/6NeItxn+HXRFkNC6VobEoHVem9M
7dYcT8OSpS1cpH1MaHljQV0+FijKjB3WQzw63UEtKgKQZXI2hHFFB8ZgJ0JVLWmiNeXU79ysOOkt
Cq9c6rctThMjPqRgIvc1U1VE6VRFcLRuqND69dmZKVrjDkS0u7pf04JiRWeLwClynUzNbeOI5pBW
UI5H+SMt3ZSEXLrNlQJ9LFlenD5zo3ZxkVi4M3+BgWpa60crW+6XljZFpyFZq2kn+bWeWX4r8+mQ
qdOvZa6qSMvM89R5C5w4GJPp3ARjuSoRmfbNka3lTjUfmqqyvpzp2Zb5a+/gcJmkZyGpY9c0UTcE
uTr97L1ivCvT8Z5hrQsRmGKmNLyrbqVSNjX1XW44nuyM5uGkVnM4U0m3c4EsK9ZOmi0gmOc1sBTh
hXAcVJ84qtrvx/FHYb2IQogHNSlxgXesKsXN4qF9U9eF7CpPfTa6uwFEV2TDYYFMMtQ4TxfqxE8N
KqzmYZsRLlKcBfe1WhXZjZ4kLMxQHHp6ijtH21RWMIjJPdUiUTXvCnjQyMh1O4A5He9Uqu2AY7oR
Jfb8xDDjVWK8B65AOT0hE+T6eK9cYOOV2r8BfncJfBZEaGjOFPR5Cgex2jnGXHLzk+1raQQ7aAnY
xEUi9kZ+9Go4+I4tW/miKYqexVK7qAWyEJouMwaUIUD7mIIiIyHjePLyyJrGI7Zf47bSpuIoSj5W
p2EIWG7d9NTJQhtjk51148kyMYY6I8OSDPTavuCwkTfbELRjgMVee7Eg8btAMsgdqJKTqucUYcYU
zsKrr1EwNL60ukPTCrB2qFF3TqU+03V4NSSDraUrI9Vg6DhnwF+qzPiRLGPIzPtG6WpmMTo05FrL
4QGznsPOOTqDck+ZcztxGQUWiJu24zaWnfKDnEzDnJRHT00v2F0Fgvr+hpTKvF/7kyflEiUSBm+3
rK9Zzc1r6kilhEjpCpfdK7uOtSuxa4Szy2bmWLgeWnWFnbHSoTM0lJyqKy6VkH6HVZkWa0mKFQMf
tdJOZZ9PO1Upu91ob8P07h1oM62UxZGn1tJ+yp5zBjxDUl6adG85YgfGVmOq7KpHC8dvZBVE2jeg
EgMHb+It8GGU6Vb+NDPh3foPWuDoanzDZGSNeg9zsLOhwTCOI+/grBAkr4pmvPIql6DzCPwlsUk8
dxYWf8fbm1io9wPBI3ZblZSNagJ4ykpP3F5bK3sqfMxcZCGXcYAYBz13wQh+co1rE1saxH/JLlgL
hfF/xokU4N9dVet0Teh4qcRZZYVGoDwcw5acTLpcdFcBwnejoVHbASX2pH6lznEeguEjSNurDjYy
UiBL7nmwHrk+9aia1NRfbDULcT6clLHATDwN2pHNmyvD6ENg+X0EHazkaHZg+pZceQY5o8XQcIBR
9J9g4Lqo0NDAMWkN528LcjYdG0F4ezkSEA45fldjt2HPScCokx1vIHDEILxGgNuYHm5LZ+54vqJ2
F6M232eda0WSRbN6BZklmfVeutgsFvxCjzTF1VCHaID5kS8bpj4+YR8Fm7zKDuJ5t+nA4XSxrGPP
zUHWF5yxNK8e1NYskcTL9XpSt/U790hmMOtx79gtJI6pum8Mi7Zsht8Y8PNzIboTgWm4mRvC3DmO
4IpTy3Pac2C3rKQLliZsmjtFnQgTLJ2EXKZ1C71bKQyaFL69c6tRYwSx0jLX4CMvUlbuopYxF2H1
PDaFfV5jeTGK9aVWzI5NWDGvtCkUeti4XXVwIWgyRrZAuafZlunKaRhzA+6n7HNOcV3nCZpTewaD
kXv6lan1Nizl+uIBrYg0r7BD21uY3eeM1IbmbEtUdV1zLWa7ibLO2NNWof5w0NGCE3lBAM6pGnvo
ArHi2KrVAy7tONISgP49ajBSb+zrKVvxeWft3nR4cqb2uqvfA41866R31BPnbakqGqNZgoaqQmBd
6SJIESYEs4aPwCOHZASWvxoy4ZWe4TLThdb4RcitDSyxcpl1XbSKd+Q8y6mFixBTwVA4vJIBn+47
nW1V70eCmbsfkNfNu1wrrlpc+j7npaPREz/X1qV9Mq36IE4Jtol9IsYfluO6Z/SNQ7AR0lN8PQ9K
On6B0WlwxQLYksr9iCT0ObHsYi+Tr44E7x2w1vl6hR7O3Bb66mk15wbsx5tHz4Rm1kXFKn/GaYfq
E7osZ1cgMS2o0GZ9HfnUPpYUqdiclb9EpKaEaDvMfmxVQ1fRoP/pHe7pxG18fdT1XY6rhN7ojo4+
lxLYPXVCid/q4tja8lC7g4CTAKCVSfYP3WakOCk6DVKblbEZuydR44Cwamgo3KRJ2XqhvnAdrd69
kwzXpYD9BwWefcBxj5WpLXtCQe4VFUexN3vmR5FaEeHhkUyV8ktP4UKPGrd23TSccEvUIwV3MjVw
RHAns0rCVYW8tL3+H+ydSXPjxpaF/0vv4c5MTIlFbzgTpGaVVKoNogYX5nnGr+8PtN/zEB3u6H1H
OBCk5JIoEkjkvfec72SvYFdZoG3+/koajW9OoCgNFWBPMe19Uwj2yrwvW8XVvVtoX6P6kuUxdRGs
ze1D5dBkipFqUe6HRyEwA6YQrtuc2+pcdg8Y+j/MKn+chOqvAwLiQ6wI+Ebnu83KYt1YtXB2rYLL
US6MAdBXR+38pAZz3GJDeMvBwh0civsJ18GhsWfEIYwgp6FyDnS3pyNJWvhuHPWO/TjdR8E4no1M
jXDlvrcaXLLt5j8TdCVRk8R3chgeFMU2u8yUWAh8d2dCZ169VDqXxuqWXZSu028Txgn7gmuhRjZj
eU1GEEqxM5i+u6pqf0UG5uwROu1RyKNH5M1OTCPbp5qMDzAnxc4rqvquTqItVPk3sEHx3mMdOExE
PR+kGOQdsoimY+oIkLvEYIGqP3MJ17DEJm7j98Yhd4sIzoTFVL1EHf6LdnB9Jjw4h1yXvQ7RafFK
qw55bXxsw69tLD+1U2idXXKTmvAiAkJAuooSRuzDTWtEu2xgMam8HhuNSp+t2booa64PIzCiPT0I
DKwBChM5FeVFpK2Pig8lRCoozktZIzdm0lx1auPYxSdVxr8uih+XmyRsYJPYZhMjCJ18VYoIhi7o
riFDJgirXG1IPCVK28q69/BYsBydnNl1NgWbt9q9Sb34E4qQMX1Vi3eH/kBUkbEwzBWWhObB0K8x
ZKQ9mj9UZLJ/LByl/FoYymedcvPN7Tl5x6Z/e3Q7VIgVe+ij2mnRQxtPdVMiN1hT726H2q6lX66H
21MWb1Caasy2+OOUX62HKBstbkdNdO84TnJUVoSONvMe8f4E59tva9eXcDtUaDD8gRSxf78I0QlS
hkDp7qc1TG9YD7dH/9PTdgQhXRjt2V1foFiz+lr3aykKeb49uX15Wgnz6dD8KhrJ3B11GTrLhY3T
+mJvj8whfgAmbRwIFzbz375rMPTltA/PcNGUT+QcwqT1kZkU1lYqmW6tPtE+UoZhnb65kFKix67D
i+l2ytqRFtYhRyv2NQuPX66H2yOP/txvj6BtVLf/o2MDoPaqwVLkjOhx2M12Pj2TzjfbsMeBSZwR
kwWk4IR/9Ug4+HfT1FKA8jGhpgSwMIS7sqgHf0H4+dthQjeX8d7864sDdxTOEkYk1LqPRpOOfiDc
gW0kj7z18MfXCnbrcPaTrTMFo98R0fHbITMGDHI6fp2g5kBQks8hrDUsQbAsh4jJfNUP8U5NUC//
OMiVysgmu/LRHo47LcIWsa0Tn6VXg8Q10uo0c3v2sz6rfZc9Oic0uimrMWo+IXSabLyQJa5PjVTI
HSPdVWFHhzDJHUI3uBLP0vlgCDX6AjX8sY7i62SWRGyth9vXdZmit0zjAUedXmw0/3DBt/PcD76H
StavMw8BjpF22ADzD5ncAcPu/XSys/ZUxUnvG65OUEWNACnDqvP/OGT4wf0U3NWhnIqn29f5/YlP
KEAiFkINQmm2MHP71q8KEdHFA/w643Qg1s/1TZAamAsiPCKt0/l/HIr1l65hARmrPd95NNefIBFj
kALED6zXV9HPmWAPvT5vjJn8ucxtEFaUr6XNeQfUBWMldo7QZZl0R9ShgjKpKABX6XAqD1H35qFG
ZioKNSiS1pcBMiD5rSN9kYVYhprurJuY5zE17gJchLpxI8brq2ac2LuNDZ1sO5Y1Shc7+NBu+RRG
zXEQg30gsPulNr33OS9GyFEHINxwemt06zOADEvW3V3UWcAkHOdHYrwAMKn3hJ0QoWDrt9kOr2Zi
ZYee3TpGktE75POPnKSGo+Y6zge6dLCp7jPDQp5O4uVqj8FhRNFwIsFS7RztGypP9qWZvYWa0Tjh
bl6KTanrvVW8FCLWarKXsiI0J8y7n2zp+nNvsys10rc4JfXDSVgvUc1ms70jEReG0NouZyK5wa40
AE10+4ek5MdqQ0OlCDGIT5gPcmCDh6Qhwzgbh43oSCLrzR8rTh6tNvWEg2AjUcaHJTgvytlxuaoA
jwZTsBtG9PCO53w1src2d5ed3TjGxssouJSuNr1DVmo5uufWS5jCJeiBU5Bwd27REL80vHnFcDc0
5ezXJeUZVgMT4VXdP7Y9OkLD/FRj3Sh7Nssk5ryTo/dqABgC7LVWmcVwlNAZIC/gaiMOovyAX9ht
oM4cMj8vmvfYznp8Tw69DUOdGbF/9CZ3VddR7r4sJnUOx7ekG5tXOlkbR43M/9DIexmcpTrInqaQ
9A+YLQfb5f5We3Lau7L/PNia7V5NA6pzvjKwyb45Q/+B9BPjkxt96xY33lSL4SFW4MMwwh6N1Fh8
4w1/V1my15mLYhOUsks8WjioH+hOX2LkFavTLQyDxyVwZ0Ik6Ht60j52Hg0Q2hIr8DU+Nmj/0tzS
rOBoxPuk9ECtOw/FeAoEXmey9MTRLF0QKrD3t03YoP+bwl8xodgbkw05s4W1uzY8LTUSUqlSBMA9
lZ2o3I0sidWxknpntt4nKgRykrFkE2hCu6X9Qq/gyzgBAQtXdBSuJIolk1tJFJePKPXA6lWtOJma
acgcfRoaBu8tNgxEZQDG2iK65PKxeV4Uf3hKai5b8I/F1B0CgVlSkA40QmsMUCUocTMlqE2hLWnu
uLQ4u2zrPpnzHm29/WEBkTkV/XOZ40adzOlNyNw6hEP3JTD6bGfYIqO25zRrk4jORcLGpyStNyo+
Qj4Y6nB7V4aRdUhQT297KsaWNNamqNHoz/CnEDgzhMqDVyDkiMRxoR6kC/5H2tEdF9dmHWVkKCr2
lp6z7ZC7Z8gAFfI1JC4uoLNn67FCzL8zAf6sra2IXozpi1p/Xc1Q15VxTHluP1SqwiybBNjIaPXN
GD5Q0XyZLU3OV0XKjSQkKoyRJUWZfJKB+Ixl9AuNbRjqIaalsTpXWoYX1lbEuh25pfyxTefsjYnS
LsKNtSNkd9Nz7z3aSC9Xe9hrxGCF0uQHhuh4E0QgOYYJmSd3LwzBpnPQmfHdtnJkpoP42YwAAZdJ
vpXxuBwitXJprPzVGTERAigBVhak/d61POeQB5MgMIH+M2J71qzVkkSje0OqRvUwGZhwZr+KnE9j
2qlHQaznvi058wIkxeeybMNtajhfi7b8VJB2kLrkyKU1culQ16fatoptkUKWjufiBAPT26gsTPY4
Q/dmyO0U1who+Wg46G6+kox8z4IF4DqmuFGkc24yWpMUl/dR9mYPK6mvqd/UkgS+YeLr8kLUgTJe
3sZBl7suwNE6L/aZBCLQ8yYtWgXip5lP2SpPjb23tIoBi2tLHSXCTfoh+XGe47shDZEzs/20wMy5
0fwtBOV4JLAk3WSD88rG811EpkEbazoChRv9MmoQJHaIr/KQAOmm3QvvvSd8FupUhl96Gt+InqOb
7PpiNClGKsKO3NklyU9CkRRHS83oypnHUPDZFaVy+bXMhveaycHKR0HjNXyNy5GEgUY+Y/ohEFkZ
MNOCZpuX4XgdRP/Q5tmvNAOtwcEHjmBvsFaWRUAftwVteU7Wr92+cTvEq6AwX/EWkCff6Gtia1jY
pdwOdc3mtGfR1XlEW2zG7hg71v0IjF94zXOegxdFkQ4ixc8G/AlOyc7gdoBM0//2aA46cvkiGWOx
CyToBryU3iauFKOV3hguc2CFRxR3W42BoY9FuI/pSTKms4Id40/Yroz8QjIFfdciXDIL0rs848bj
edVDNHEb9xKp5bYYm8knePmcCjGzw48nf/JGNHk0bndZyf6Vm2TLDoVNrIOxViVteb59nRBrdYTG
S1Gvn2ra9/ulZzwZp89j0Dn4j3LPN7Ez+85A6Igd+5Xq6RTmoLnARSZnV7MRclpCU8EbjgDdy2KD
BrXak5+bX0iXzy4LfuGLFY50RCivwpkU6s3odB7GNTzGIIi59lSboG9h2+msh9uj24H4BEqq20Mk
s6WPnBnW6qVAYniZVlxSlshfq94iFltzbRMaXVFZEbJEt+xHKKB2dIYDKr4E7HF7SqlXbRyjOzUz
WSq3T8slw/C3T4sopPGI8f5aT26903hNtkuTpDskL+SDBjGuD4q/bbz+Kmsq6J2HxWbh7UBo+CTy
2DialpMT6mPjHmAb+MfBLNgqtiqmlXt7ePvOjAEzUNQLQC7yS9QhMh2K+L6Iqo8b73wWgAO3aUyU
VDGS4HHDsNy+1jnt3QCVgwuVys9ZCDCa1MBAlbP7xmS/PWIe3Z374m1cQ8pv8eT5EHIlED19I8V7
MWiF9QCJhIjxxUozwiG7nWfm9GbWKuJvbHw7mRTujRJ40tjGFzUYx6SgT42f1dyY9PN8g1wymPN+
7DX08szJxW9fa7rN67Ye0j1xC27DObZu9W8HN+69g4KXAn1A+V2sfy1nuqTc1s8uo/nejNiGs4Uj
Zi7Ylus23A1bl7Jlom2wajoY2MUADFoYNH0FeFU6cDRVgUvlj4OHlPIkQ0pYorWzDe9rvscP9BMQ
eOUbSUQpsx68fz8ya8/emi7nKMA8fZji/j41g+43AYkD2YXgh+pEaOriCqJnhDp1jrUd1hoxX6tF
D68kQDz6uLcPIlxZNtkyo+ZoG5fYT8bXdD66kSE+W/KqxLSjmwLNKQrejhEQDcp8Mo6LDak/TBb6
qV51+k0gHFblcOxnC5c16uK8Cp4DzysOt98z3qg34w3fA5XSOgTm+NTphXGOC1c5Rxlm2lbHix1I
9lYYS26FkAHWYUjLzzfLPtJTpC6xzb4VU9v2byEGt6cWjv4jXoNztxZ5Ax6ZXWAKSAAkvRMLs9aC
XlSD67Z6KpAWSlMXMXjSA01hs//mqPk5IQXicAsIAJVY+eAnQBPcnk+Qvo9xE/NeDGV/cTOCFSva
CjcJzkT4DI6A9SWW6/nZ4JDCFTWg8mVxiOrP+I6a8y1uAcUfBZGpuju35SMcbikDt8CBGsjpUnuH
kF9SihnIi3O6/ciZeIXff/rtuUixgKy/m1FVjdeMg2onXugfzwdwwdvCWp6MPv0ShaDXR5BY7TBz
mqn17OIMkcs2WjCRT+visn6tsRyiOZhC7G5/seX2qJlv70NitJ8X7Nq7ZIKLshbp0bVAjOO7hJr4
XdtuyxF22O3avL3EYSa+hqgh5nRrWd7k+luAHD9b2yNtPYdHYiMebs+IpfsxTPmwd5eg9APGh1sr
CtqtdAculfVl3a6X29PbYVm/MfZRD0CdnvvtlU+zUcPAVVeoqvehlaEu4dNNXHv9VGbotuYhhURF
6HZ/HvKcIC2TSz7HTEgH/TN3MAPWSZ4haW5A5Ryyunoxe9weXtrfy0JSPoQBsK813ZZeywbO1d0Q
i0d2EDQjWblU1hEQOKAZjmvoeshR+2MtI65Bw1cl76qqhu8Vfc0NnPNnXanPSed8gMO/ryvp7ago
kYuTac27bV+zZFmOUDC5nYvOB6Vwad3qw4bRvatt8QzEDUY2WvHtHKExaPMvoaewAQwq32fEaxTQ
YemUiM1g6vRYx9anfr6YdXBXItgslT3uYtXfg4v9UrYZ66x11484W7H+fKcd3z4P9CoHoqGaKZqf
s0CcOvZjyELRms/F2a2Nbke8AfjwzLmjTf+oSdbbuE/ShWVbWcBBJid+mFarYlxhy9IzVmpFYcwm
lY1KNwIKKr9zRS4w6tiUqZi8QyWwqbWJaoikRv7AtKC4zLVNSKlZnCHK9N9K8Wi7gfU9CvBnU59w
ly/Zow4AevUo3kLLePBoXOwTmYIVH7uf0mNfX0fD01RDXmlLwzvcLkaazsTbAbWfikYcR0cfb1Eo
XqOIpL09TKdQnev5jAwBRcHcyQeZLcbBiwrPn3IQy/+v9bwBdf8XFK40EWj+SdC7A7b7O0R3pfn+
13+cvo5f478oPX//J79TcKVt/aIF4kFlWuYq6vwdgSsd8YuyHAsjv7ZWUqL8t95TKfI/JKJgW7iW
5Sjt/VvvKfUv+GFsLZhNuJCgPfl/0XtK0/qL3NMCDqOx5CNBdYSGaqR5fX/WHjN0zpYEztiLqBLj
lJFNcUJJxrlbyDuCzY33DLzNpuJEl11vfdKLiDYKIBRM28o7sol6I+wC3kPAjZgUDCDODNb8TuS7
Lq0NRqwwQp1QciPzcP5NnSTKs8Mk3tOYLmo7fB6h0l/NtH2NK5L1uvjkWp2ByjRClhJktIod1Gke
oDVXBczDZcitYECREY6ALpnIftEeNrUMcTW2dMpbUOTQITtREQ87uiezCEhe5C5K/EODh8kpu12J
AZnGb/9Uh2ixFtEpJnXEsHYo7e9oXyOkcj7VBUonr0VqM50sh8JrMTr7EjJ/mHqsxOhBTl6Ij6EA
uEd/9iItHFWcSw2MriDEmI/uI6Boxog5Wg/tMH5vG+LT5so6Nglxc4Sm95DEnG/EG7zrwmrux9B9
UoxHHoaugVIxl/uxTvOnmfLvrFsXs2kCk6LsYvuZRif1jdu9tzr4SULpQPnt5YfJpM1G86li54c6
K5fkpKXtSRFLtheyLU5TAh6bu8u9bYV3+RQMZ9w8O5k5Fhmx08+S2+PD2BufDe4a1OPLc25PmKXS
NnwpYgjkuKCxx1kV7TmqW7WWTEkhfo78jZc4Et+xKzj3oIqjXTAlDDBF153qZXmlIAiZGUXFsSrd
+jEP03j7p2vufzCArJE4f9It305kDAMuF4cgCJiq7a8ncr6gETOCFtIO5IZUBP3JNkkGIyxx3gf0
wM62rGiIcyvNs+SLsBkzVtiuNW5u345U+zB4bMyNUjIKH8s1jVk+ucVkQ6AfzMd6A3YifJUlPbFl
1qHvVsNTnIrhuETJvAd+flByDXHu5X0mUUFXkFc8omZAQE5rkKR71NhmWerdeGca1XJF00xyIYod
2JSoGtvVbE1+bMbN3umy726VfqWeat/X9C08GG9D1tvPuJVxH41fVI7dfCDhdO+FDmY2s3xI5Pzc
WtBnzZ4gAJepGy5lMMWFKWgBd7n38s9vuFrzif76jlvCXRchrWloWrb1N6V4pR0dBqIqXtyapJVo
7ugAR/MeyaCJBg9idGC/F2EUPmTXCbfcJcH9TbrPl04Yxi6N4VjUsxkyZWlwqBF4SY1TnEyZN1f2
BRg91V0s4+SQaEIXiVpONmGN1VKGiMHaapR+MhE7CA9+a/SJ+SgTfNNRC8pl+hYWVupn1fDeEv1z
SrL4EeAhM8zYRa2g87dmHbkDR/hEw01CQKqLq4GAjbm862dUD3SRpkdbB9yvJwXEtYh9umfjNi3G
YYvkBLs5W51RtFcCVwssRIvBDP7aVku3m0t4XeANcc3p6iMWrX5kDOYj+M9PYjF/IMC8jo0iFZnF
jSo3PuYDU9UazOPbTBfGIj/Ahqiy7yy2MDjPNr2eqkOU4LMzE4hcVlh6BGbnW9Lj0FFHeIWyPLJI
bJNwzpz7TBBRL2fb25mdfYzUeM5j6rqhZGZeDYi2Eu+za/ffyyW+ouwIrpX1KW/L+MUGWpB2xDxk
LY7R0EyPURk9d0wFtjid1RZUjwfCNhSn3OuP2PGhVSLZL0RLokJm3A/RGqSSLPalcuQnKE4P8LLq
g2jTCSgNRP6sjUf2JxoCUtwyLYvc1Us3X8RCKp7CvbWrKtp7WWrd9+HOpcVwMSJs8d3AJb0w8rvU
7CTNirKVDFs2VGF/tgwyC1AOkzQtpkPtGtovzDTeEOFG2i0BRC9a96dq6Gd/nsO7YQDcyoX+g0k6
jTBK8E2v4LUFOv1eRG17ypFp+DHdta4T0EXNrcYMqhQKsdpuSE8R1YVcqLOqFvoX41wcZikPQQ12
u26X9GGan8wICXDQE8JGwMhxim08sjP9OMdzq7vbwQWKUGGy8Gf+sk1YMDMscpuxq93dWVkwr0zQ
L6aKw4Pom/Qgq9UlodJTX+SAoe32aATswYtRTadEYBQfkjBluAqNR1FCWQsso3mB5QWeCVEFd0eG
Lo/0PL4zPxhP/7wMSPOvC6+NVA+3ihSmKU3PVBiZ/rrwqnAIgEe4xnOS0dofI9zX8FFgPLgJ7Gsb
sIhnNU9prf15GvUOp7THfBxBuotZr1zbnKk3gz/H8r9AhnPzYngLG6Anktv7GQPEj4Voi5eYXD+i
t/t+urY2mC679nVh4Mlu0HTlFQNEA8NKjr7pvtbVZ4QwKVwQZmGjzZls0Dfbjt1M6bV6Fhz3iOKn
wzwPNJt4byVXoTA5om0LuUJJY4+m/lcya/pLFPYayJ0EYYid6sKwwtk2inBtbOh1NNWHsqEKoRbk
508xQwqhSJbZeir4NuVmiDHLQtSEL6EvJ0jBtAJF5qq7GhHofjQGaKqmPV8rfv3qwVT7mQvritHe
2+KKQejTA9YlPgRMnOGuTv6OyR/DEPpgBg2PWbwNefSFDPFvjAu8owJMi5IwZLLSbCqG7Ht8AxCr
0WxFqMoPhVdrGvSYyry4GGkA0KKooERhBzcujoebORxoggOqHRnFdgiRC7Pa6DkXACGhgcxk/17A
OwOxmZKR2UyWsAAgZ2v4RFU8nkD3ExszEX3TlIiN6CunVGXpD9LJnGM9P8eGF5EljgoOM3H7rEgy
uZK49AqVJ0CwiGdZM1ut8mu/uCEEMQ6naeh//vNZ66wn5Z9dTkJjotKu0MiBsDq5RE38eds71rI1
wqUJnkG4eDtvCL1L4FTeZekIYsJv9Yba/2QYy/Q82N9JUZnvGM9KA2qwGS/1V+g7R8DP6d4QGbtg
NbVUq6U6gNWdrjkzjY2xPBtzm/hT5xhHIm6ekKDOH7pAC0XwX/Rc5W6xOnhJVKW6jKEC7G0Nfamy
iRf1dDOQGZ5PdzVMOYaXzXJYGBlfVdh7G3QCwZGX8c2JR/pd6BRx6DJabc27YXoqAldfp9V+40AH
xOhqiWc7IIqyg7vSOY1486IA7dAiT6O5YB23QudK67njyiFvYMK+hLzr6Npk9MYI7f/5jbfWeuJv
b7y11jbSwcfmItn/6xu/Zn03Mgrd54y2635K5ERvgdXzM76N4LGY4OEJC2Jqqe0DY8YNspxL2YIn
rmzMy0S9J895SY/XNmBokyk+x+Rl9Wn1JgJh43ZHW9tYg3dvwEHkvoJmEQTTPTW0gZYzu0h2Bueg
BEGqWTJI0G7dU0lbZFfaQ3XJMNe/SmE/ZKmGehmV/jJE0bZQQQGvX280t/OXLlwjZEUWIgSAj2y1
gf/P75H0/u7B4+zEBkufRim8gMSk/PVNGnOcAos12s/sEbljJql6iOVTu4jebyIAWPzOzw7JFgx6
pt4X/TJRrhBrXQ+StO6Bpc7w7OKYtswkA3sat3OAv8ZhIsJIpsL+kmIE6hJ5wbG/3AkPMqcZ5JjH
isI56yoe/LRbxZDJe9kLC5X/NcqHq3ArRL9VJM+j0itgoD90Tu6RiOF+m6PcPrEqLnDBYABPuGkq
UwCzaePrQAyxrDTDS5EQj8GOcac0GkSpk/k+s1jkkLKIixG3B0PMVDheafl1V+hrLkAmtAHdsLlA
XqbT+4T5J/psmzyp+H0w+uYKBPAw92l05zpmuOvnyHoVEsWYmS7OJW8JEmEjwULio3KEaB0zfhwU
kvtoGMejmg4WyqZt3Upj61XMcrva/uyMXJYjtc4ebiLuDB1ZG4uZ5GnMHblLCkdeyrOSqFVCzzFO
CG3aR2mN8R58eLMzuiy/G1GPY2uAqozMtuyz/jlexMHoAlCVXe3co7wgASkW0Rqq8Lk3W5aNdtqa
JbmN09R91SnWdVrPK6hUA5Ezd4z83MdgMH8MSJVXxhuZWNmuWGlusm8AnK93ICsqHjUL1LUUmBQq
4yEbpX5oaqM56IiQCEvtliJr7y0bQbcwHB9H2HaNnPYBkpQ2wlKVuMY6mD2T4he+mYjb6Y/G81OM
MaFx0NtCQ3vPOy0/jZN3RrbR7ooJwLWwDFr2Km73w4B2vzN0cQGD+thVn3LkKwR8U+WoLjooGx9n
0bLyMCiNEXdeWkQteT30F+BW3pbMtl9RVEA4Kx38WXEjmFPn6asZ+1FM8nCtw/JQYeJBo8tTHbZH
N0++m2Vengnf/F5wSVH2KoQ8GkmWTnnbrUyBumDQNI3di2nOAMcwKaJsCxFkTKG4483Vm3++ilnM
/r7U4emmHJXaJtyDhs3fKlJdyLxv06F+th0+mgldM6as3vVbOir33JQIxmPpR9xkPbip8aIiZCuK
XMp9Nk71cQ7qaCsThx0F1d1k2s0FHVG/j4NHCAZPlkqKVxCxjuqWJ6GSCKrovFKfIvXJozvJlM0x
N3oQBcyx6rVLtH0UJFEwVGCdNZuO+U/WjucomPkkwjUPLQ1+DHp4FpnpvYJIPpR8zPdDGiQbJZPm
ENBA2XLP1Ht6vdVWDXpiWAWWme4MnrISphNjrXTnGnC/A1kheY2QY5AbhJuF+RuiLn0xFq3vg7oM
T32O36By6oJfHMKn7s2LMccBpZO3QEQK+w+cXeckSZdXRyKsyUK8FjUQ021RPQ1FZ9OQKaNP5lLX
J2wV6S4zpuQ1D14cb/2/xWLcTYHOzp7Vkt4QIwCoA1Y34YZPyKHFHUJD2LHCvCaBQ0aabuh82OZ7
6+CQiWZFGEvNPn8gOHEXzmKNc3O/MyYvnsNeOBBP4vDiIvXdVOWp8MzxItftTJhYQKJmwgUr5Gcb
my3TM/j/bUcP4dh65D7HNneuuOjPZkpBN0kiUw3G6Aeco0f8r8ih3RzvXV2u9gnH3kLG61bOKwrU
ziju2ymlrzEab/GA260IKnFsZoAHrtNTZrDpKGmdXwr1Co+7vtglfo0gwBEZlIjCewfFnhnVG6ys
pEOTSHkIiKBEOeIwboxqstR11aenbJ3LRmHyTuZdjuhdmLusJ/miQJC+KTOPGrYNrgOwmifeB8LF
0++QnOQLA/z0aJcm80tsQA8OQxy3BB/TjXX+XVoP3HGDr7Dz513QcUViQczOsMdMGopQqi2cYLGO
/RLp5KdM2t9o2Mi7en3W1d7FC5fnus5MP6OZ+ZoB8tqHEgy5E7/lraEeWtGajwhY3O1K+D/oViCL
EbnmI/TSZw3nf5OWlN9W+jNoxm9OrZ2n5E2RJYKzADXLdOoSs3yKjR8xM8tt1zT6EmXA4EO3ADaK
wGsnSaf9ZC2E59JFJJ4CGwpBjdRd3AbejBYVdNRxr0xD09kFhdiZEfffqc3njVpyqICoh7bdVCRn
Qn4/VWHZH3tRCL8SrwNC7V1JvOCHHnL8XXcdMrzrEtpAXMruhzQTfZlz1Rzcbu4QLMaHUEbxvaDB
/TSG3dk2BufAcKFgea3mtzTgtGNzFEXd8rmeGEN06VDsVq/ydmYVv+ZZkZ6s4qNiULAl2tc9qcRG
k1+Vj+5UrjGeU/ZYWc1L3+nwkHk1ej3by+4WJG4bL6A9OcQTezKjnf2wT96LGJynZg+FT9gjW7gY
CREKISXZSkafc+nWyE0H9zGxK3oOzQ/6FOo+CitvN62qnCKNCDFxM2cd8LXbLpZEyHT6FdWubT6z
WzkbxSKv2oo+JTi096jCs6RrTnjyySdu7fyCYoxtIPXTBuZbcMoN3cK2uwUiyeEZEncu7BJxXov6
vYjiZZPDW57g7TGYK7IzKspu11tm4BMa0vBGxSHoQESmRMAqVp0RKVo9vjBlzcCdzdPRHGY/zzMi
gNZt82x/7bIKG1wWvCwBPO2ZpC5Aa7O6x5SYefOx6pPvt+xDsUYQKQhKizFoQmgAHyB3ImVlDq7G
WC/3I8IhzJYIKAfLYjMrpD4t0vxwC/cEEPGDeajC6zoDQ5JsEtIugesau+M9KMsvC81iPIA5UzU9
PjND8HjTvEculsZPRD/eZ9XU0msyf2Z1uOzTSc7v1lw8oAlURNrVrGlW2jynDQ527016bfFZ0zvf
dagNQeH07Ql8nfvbnfL/KSL/y2RJSXcd7Pznn2Mc/zJZuiuL7mvxtwj527/512hJWL/wITquJagV
TGFRxv5ruiSdX6CWSeZKxF2yGeU3FbQeo//6D8sDGbK2yRVBmraFAfbf0yXL+sUEF+m5UEZs22E4
9X+ZLq113d/2QLbD5MvkP5PqVVvQSf5SZ1dLmaoAIeKDM6/WduoxiMvFqaAzs8kNcV6K0j0kmXnJ
e53ssyH+oluNU2ByJA7WCN9HdGGRxNS2hMmuL37qVWtZdfaH0t2zVTUJmESWDNZnQAEgzhCdMG8l
AKS1y6d8tLHPqZCVH+jqazp335aFvA83WfYyjuZN2pgfUTqxaSyODtGFFH6zeFrJ3JAkNqlBzZcF
9H9sB2FsZk0I9CwToaVEYfPIYOPNsPN3czbiY/kThRYKoubY6NU80+NOJL59OdbMBrZhkB1D/hk6
PES32DA+c7/vYVrPPyaLTTXv3hbaEXOlgVQddiyb2WNlHb5Oi0if8q7c916DeQc5FUlx7gXfPwqW
JaCn2s+AZ0eQirEX/6h7fSmGbCXUCwLKd1K14ig00KQJCT9W7H1utXCes3I6qgr+vJ06vogYMUQe
e1FmlTjW+cutqe+vIKSrcEUqGHTMwirXu35M9wqG5C5R82NEfgaU1oearqSqUnvXWSuY1fRejDhG
19WIx25gANEbRbdd0og5YPWCiq/ZU78tG2VlnwkkJ85aZV9lD5YAG2EIdN/GfVcBQAi0PphJ+0Ee
MF6jxSz3cO995ZXjtaqjA0NVpuh4nOjYlofYQUEY8g5QF+C6m9wvMhueHYZCB9I3BBoT9A4oaHCi
LQtLrp4f6jFqLrHOsIQZxmbKCXnEexF1nkWAHj8DsuSbWwGUZEfm7aJMfUVvN51M2NMoB4dzlkbF
juS94EQvcv1gp3vDrCkxF/za8ZoHV6w26EnLI7EjB66Uu3zBA0+sDI5H90uxdP/N3nksOY5sW/aL
0AYtpiRBHQyVERmZE1iIDGit8fW93KOqmC+t7mu7857QQFATyv2cvdemPhZBrh/mDkv0BTglrgyj
es07cAcKogQMtMml1hrhIF9s2ntnQ7ePSghZ0WsSJsSoe9aZ/klBqTpEef+ixmjsmwk5IbAxfypJ
iDYaMIIdFcHO3rfleyp6Ukmh4zSNymJniuKjqjpCVKzfk2BAQnhDRkYUPQeRl50gvtB+jVFjQEwj
FCXXgDRqUEqmVTLFD1xMVCaFfm2+W/WuiMCpqs2tg7SdAUrFbJpEAfjfeGs2uDYxpBIqFTWUYGaE
7+jkKOhSXictO1g3XgGo03ReuTJ/dJzA1urCpLwBACJkf+08xStzhqZdTDeGWvDeyYgDoO771RRz
fUb3WqyHlhGOsLhsNQv4uFdVe6Uu6ckwVS+oS2gI+bTkpQbLcHAgId41Y4WtoehQxUDLMclFbGJM
akFUNv5CZPWmz/ZsNWYqdDB3at20NJhhJ+AyLYEszq6x5Qy8Dhzrg3+8WGVwIE/peNcRBtswMyS6
GkeuEqKCKczDxD7bhHuDvAUAsqV+SuPxFUPWtmz7aW/1cbJabJjHtiraPnGOyn8oxwOQmJfKiy4M
P2lBCAjBgGVtFaeVSnAKQa8uiRkUTSJyo0ofxC6NA7OYdpUHsaQPqCApFGXK7CUkmH49FpOxg/Z7
yyAkIvKgb9r5MMFdzUycYES3b3VTeXWN/CHNoleriG+L3LBuFUdgIgPs5kiH7pN+vome4tjPMm3e
aAmGgAl7KNrpXT225Va1Y3enA2nswAnvG3MmKWDC9oUzJWtuo0RPcYugDyz6ocfzh5MmAzo5NscY
t88x86L2iI4PqH6onq6r5DNahvU6Zir5mq/HxAt/u0/hhZSfBTFA4irUsoQkWS7hVrpbFPvDAF+V
RIa2kwIyTcg3mY8j4RKSMXnDCIiCLJk5He3WBXtiO+3m1rvVTKo+AJMRNJGwSGtuDG/bpT3YoqQ0
BCPBbBGBlpyoN3ZEsjrzDuXCMJxaJDzhGOUdhIm8AD2nI9qRi/KmZdKyXvhJkFoRLcqbYtTyIxnM
pE/+s07rJm1TEHm5VqYFNROX0RFFJ4YnzoTJ0jwYcYltEVtPqC/fSsp0SEHdy2KBimvjbD+b/a2q
EBcrbyqEH6iFo0PP5GVXNFp6BO3DfpUe8U7f2WH4vQvye9ykHWZk1Ge4Xt3O9Q4GjmbyAasw3zep
7nea2HKWVm+bLnyc7BIuqVwHKYitSSPvMHZPOa4TejYbN23nfZgTjaEXCG8n97VDN8jsqz5lo/UJ
BNDyFRerZeK0t5aQ20l5qkSQqc4FbSphAYZSlBQc0ak6+rs3iKgxwrJCO1wAQEUW/T8PybK48UTu
YI/aPKMWwaLWcXpswpIurTE7ewVQSd3ZsDUnjwt4mqPnMEvOuFe0rqTNGmmaHs170ggeTTUf4FMd
I5tJJZlWgHk09YylGgyIM/xUmSdu884+xMx7typ4dFpaOhSGFkKsGWbsJylcGbkHGGpPrJpJG0jq
juUnXW/+WEf1v0E6DOI9Hzs6MlLAm7cJKc0V2QDyX2piCDt5XP+6ynflkpQj/rGOKyMzSrR6g/AH
ypsFrBKQHVTzyVIq85qSMSY6nDOVOdoT4creuBqEWDgWmlx5YwSx5SNVeilSGlxid1gUDt/QhK5e
q/qnPtPWmMMeLnuwG905jt6iLHpXpsidKbyye09i93aBxRyvd3MmrPlePjI5U7P48qGc1J10tQyI
a7C1ktTz9Qz5WKOYW3Noo2TdIu+9vtNQUH+2ddBa8t0QGPz1iV9v8/UR4hvIpd8+Rt7v8/7JHWv2
03+eIpfk23x9netHXZ8j15UI2c1ZAYueJ87PPx78j3flA3+859dX/fo4+fjXCvmf/fYzfluUz8Io
TctvmlLS2Bql/O3P+u1N5OK//pLf3u63x39blC+93vzxpZ3cBMDv9iCgGJjXRhudJjOhnUNfl3a5
qu0ImmUSLx4I8JCiWBKLeRhjSivForxv5U8cJBzykfXotMBnwwWTqosihIv6vy6iw4jW0GH0daFR
fNQw722MSbhPHeExUfQM2bl8qbwvbzSywckHRTmrDRp2jsztNlU7EWlSn4pR/AhzoWvf6upG5TLq
m8NAdTmDMm4LOfUsldUmFyJwAdWtk9fHKGGHLsU53BW7nLw7xSp77vW+XKmIPV8u/fGScsy6/dAx
LMIhdpQ3jRBqyyU9hcxnJowDPJp2R/km1MBBhMjFIaCyi9yZj8/lWrn421qgNC+FxYDEbmeUCJ5H
TllZ/7C1hZNxhHq4T5Ts0A0VetPE9RR/SvUnUntfQ53GyCCOW3nTiaWEwbDIcUx8fc7eilnHDIBb
S12mU2pWuP68fi8DcbUJl8LgrSu36kDao5MT/43RfWDlzA/yDZmYkggu3pU+G74q52DH48cyend1
jgZX/o4gtR8D4U8t5AlBrpN/A+de58Drrt9PF1fMAUAAJeq//0War4zPU5T3wp1kbQIrl9RHHBuK
9zIgdvCrBQP111NMsYEbAiOqSbN8tcloms/iHKgCjIXs7xzmwHiYiCxjSDBtOmiOeZJN+0nYSfS+
Jhsl1kQUJ+DNjfyWXtpdGmLvECHyFeT3ogg9HTr9djGKjtGbcf/1xH82rbxb9P17YszxCkwYkt+S
4vhafkovjFiD+Dyljfhp8n4qHRNavq/KdM6MVTuqvkYiICEgXTHe9GhP99Km7oqxzxgjSGFf+Kyi
HFmO+P/llmjlW/9zVz4Qu8avbCCAavaaDfg+ugq1Y6wTmRLsDgHoNq6lImNDbhm5W4fqQLIk04ug
NL92WfmYvIHu89ehct2SXzu02H/lT//jrnyeXCcf/Y9v1RXDxNjjRh5ycl+TX0bezaVw+npfLn2t
XGIE4mroZF/bK1R6G/GWhemEQ1V+LHNNjmS5OMlD7WtRHt/y2zDy+/sATOUHXb9yWBUuzRHzrHj9
N1Pa58TVNFICZfHlYULZpAQBOJs/y6aodiCAUrqwUaT68ulfi4H415AuWT1jik6cGOSeKpeuN9d1
M6HayJV0v9JiDHN/n5Pkb5I33aBxyZeLmJEZn8rFr29fLdOtldxMJWmZA8ttOQPynrycwXGGG842
31z5RczmqLu6epB/ticOObl0/e+v6xy6y6RZWsrq+mT5kde719fKpetmvD5wfb8/XhsXT30KTEP+
F/LE2TtRU+zlfXnk8Y+n3Une//rySwVRAkSoitLr7y193be85TVUFJT+8o+HyTtzKLENor5nKCN3
xH9flG/xdaqaAOLu3SrbELlIQLe4kecSeVcuyXXXu3KdLUbB/9Xz5JPH4H0kd/MgP19+P+wg7LbX
YyZwxW78tTPLtZ5e0Em6vkAufT1LLv55/7d3/e1Zf37An69SNLA2HRzvRSXTSvyH8jIil+Rr/23d
9SnyUV2OAuXi9UZuj+tduSRf9x/ftdJc/oHrS+QT//iof1v3x7v+8UmhOOFPqt8IA5A8ZjsqCcZQ
YwEWx/r1ZnGNagH6zfXkulIuXdctX8Y08Zy6+yeu/et0K9/8+tSv97jGtWOQHVaI+jgliz3aXgqw
DdcD5bf7X4vyuPptrbwvny+Ps79eSYzShE24TxeNkh6D4/odST6SH/MuWxDk2GFHZBoGga6m+OaN
T+lUEF7d9uoTp5NJAACce+rCRATSUnoiouFg1kAmF82efxRmsbdrQ3nStcC7I6m93ujB8EiYIRjZ
ZkKDmqTRgfyJiQbpQzElmCoN0Udps+q8zHGB+rkjcd3Mz7j7KTdSJ6Gli6ec5lqNsINqHalpqDHE
Oe7PH/x1OlnImurFpErAsqBE86fJy6u8sF5viKr5+2r72yVXLv7b0/9YJy/dct3XJ/zb674+YUy9
s93C1IqY+okhnRxWymP3eh9CMpMYSucCjCGum+L+KA6ur5X/+vgfL7etDvG47eBU6MRJTb48d50i
uZXPHNIa4+FU38sHZnkI/vtiHCIpsbLyXYsbew2uDecUCO2MdAoum6YAyUXvTnHulYoNXeKyNR2i
/15g1pnbuG32FOyc4wjQcs08CptkZz63VXynNfbZnbyLUeBmd5Pqp6sYvt7mFtYz6wHqwHulE1wR
c3r2Y4b+exQwwCYWaC8mkkc0pku76TG9kQqkoHFrexpipARs8kTk0lNnRGnZn5qfdhhZWGsZGdaK
2/ERd2GmgqMilNXHnNEAqYNKMEblskVJsfegxa41Kz1pXGf3XOJFJglpcaVjbRQleLb7/kcYTaSU
ZDkxOrjkJupsVPkGqmAUwle1KyrwwdygnCU71pkmWoDBjKw6pEphG7RJ1bzcBilOioCixVyxhGwC
e/e47MK2TVbowjK/MMsPRfNuTRKnmSp3O7tSPnNlmv2czD2/ivjmmfWM52NeORTmaiwZd4SMvUIL
DffQuNeUCaAxBN97u753ITYStVuvM5t/dchIAH8zvKK79HO3EKRINGJibZ0msP0sLz5mtxLN6GqF
x2baMknu/Tkt7upS9W6Z97075Lsf1dJxibSHNSMMd6gAzEMG6mvtIBhoi2pbAz9rFzvZorvLYcVm
LZWbzGfaRuW8jVZ1Wdj7rDGxHdP2zie12Y5lyvCTJoLngsZBfFLRWyWLxkV8GVK20MwGOTwVT6Uw
Hseydk/WXJsEy5BmVrdP3oLCynFCD4SH95hM3YyFpI3vE6t/iQgPSbETfyshv4JW175h0iedixD0
FSeo5NRrwU2xNMW2D20K2tDqhOPxVDQov4tBsxDqmzu0SK9E6ZI3TR4WIAOTSG4icM6O1o47Wyl+
9O4FgiuqsaxrwRYpFMo15ymftVdmn8wq4Shvi5ZIiqAJ+LkTReeCMlOP/j3Xhjd7zNy1Z0KuyhT7
XBsknmIhwSyA0s0QZz3qTXgJ1xlav27OinPTh7vI1HoSZpBKGge6i4qvVPEPACXTNqXAWvfNntS1
LoT4Y9Or8LQGPEv7kcMZ9jPN/mbCSFygjTuVFr3NhvqWVFPx2AxpciwsfFZ2qW3Y5bRLN1Mrp98C
92o8eUvsPo6ZdnZGzp2BWYECCs+Ys9r9aHFdKemw9XoZ7ub+V+jExR0epg9XG/dx61Z+0hASX3T2
ZSayR7fHR71X3xa70G84U6RUEEDgcBn6kU5zj0GJ039T1y9ZYpk+pnpnrRCBOrTJwRIW47SPXpcO
ooFnZEevBMTTBOZLudVLCAWp3f60R1oJyfwSjs68Wjr9bI/6T8XtPb9U0C148H7ah7l6x8kW3Scq
EsqqKqZt2DYUmyJlja6jOTsu6EvNHn/ojs1OQo14jtEXeIrzrgWRvR2UPL21RRSabTS+U2qIF1Xn
G4nt6CZbnTiSYILDOKPZbjlj6Cr7bEJs3CB6iVmV1+uq8j5ySm35NO5ITlnOWVTc48o5UY6FT+Qc
UmiDqZZ999AoUqh2CxQcs9Ioj27IZ3gNGljqnoVl7UwjvdddsGVNfOHyZ1spFKTaOYRsR3+uH0u1
0d+RB1VD+X3Ew7sx3UjdjlmwbjP+SEXLTmMCFqvh4xBOPevW8N0bidjL5tkn0YqNUvR3OZKNEaab
byiYoswqj/auCWFKqzlq0WEYfGnrebBK9VgH30Hlb+Ar+nAVnk3GO+iFnBG8k35yG6i9ZhLc60Hs
l02QbN2+azfjUp2aTBTJVYU/odRu3D7eY62bLuakBGQhIdqJUcKs8xBEBA2A+cx4Bvhm82mWpr2v
ka50EeTFgLCpARUkM3iiBM2lOCAMImZr7ItDbTIjtHU0eYrGUR4SHUhE7Dxi17e3cz2ON0HVCQVi
Y2wrmjaxVzX7uAdWkECqFGd+jsB+pJ9NYXcLl5Czi2PSlJ3MbuN6P/DLkWPa0AoK1fBTCbv3kLxH
UP33w2jAGCqHnAOKeAQzBbkE0KGwovDGWPQnS60wfs1peiKP/mjMr6gKlUumL+wuUXYzKgoIujwZ
DjTlVqh27DUQJxFtvqNQgMc6H8ixHfIY6mF7ckOshz31/u+cH/EI5HiDVHbUAqlub3Cywi5R+YaT
PlCN3xBlGu9U/rFNaqCBMdLoZ6KVF1I+gHy1IybLBn0RtfwbXRnuli45eQ2ntz6w35gx79qaYq0X
39AU19cWCjMyIrgaKUF4o9vIp/oa+aBK4qnRkLNFPhHdKnu6t2KLTM+MnANYL3ujKLzTUavoBU8c
jidVQU/GvxsKBLIXgJow4u9qO7p+9hoEdPWVBaruBMMGJkZPpNDzQOTFeoAWmaXxUbfs+2lGv5ev
UxgFW4pHKCv1+eyNHOK16/ktEWprvCY/6W5zgAa8UQnhfh8QJ2Xl2hOhud09IbworEsdNd946DP+
IfR+2wan2ElTEWYqgd9U53FqvYcwDsdDgxI6hmet2+S6OYSyjXlZbgJvxPQj7LdbYK5Qjcjcnu14
4DRupBuuUEc997r1mDEeJ8fOL3QyGasun3xixjj1LfFjr8+wn3Kb0XSt0MMsvJmM0DaE/WkzSKvr
p0C7c5bsko7YY52fhregaDIGSluQ7QwSdX3VnkThx7LoReEeseJZ7LaKaFr2J2vQyR9OT6byMo+p
swuNkaM+Uxrose0PKILE3hvLtwk7IDYw/oYiHeEWkSHCtWtX6DCTRtf6AXnLn/LqNCoZnJpJaVfG
lJMOPYzPbhvtNaeoD13STGubTDEucocA0z+d/ag/ePa8scin3hEH4IBkuot69NKMmyov3BhatTyA
Lhay1EgxV7iLLo4STJcAsxqxS5avk760agiXQ4+6GqzooyoWGIxOgH2Ui7uBPC06lA60szKGHZyr
m8p4RCXhrtrYUiDpc0HNbJFdhzq6rpYjVyU6wX3NIRjPpEy3LwPqC6hp1Q/XGg5IS7UVRsGN50Wf
+Zz+QGmCW5G6xLkpugewTt42sgZrP4XuW4QW2sqDFK5yoq46B1xam0FKDjXrMXK+58x/aEdDrmqy
yva1Kj7n1o2j/HTCqN7FPXOHWTkp4zKe4UH9VGfFJqODcUvYMRTjbFoixnuIh/bklAuI+CCkaw/f
Np45Kdc68I9Zc+j6YoTUerB9+Z1uGMlhHPtnd3Y/mxq7dpUThOthbRui+WZABpASBLi2oXHtGkxq
kYAfET19iJU7T7frNdQRAp715qA7Ivs9AdEF1fqgtx4JhZbFnCFHJx0cJzbVPnNLc6u8FOi5dx1W
gZMe00xH58nV0HyMOTs47oEz+lO+uBtihLAXNnfpRMZklo/vS29+kt6D4wYJUJwgH8rNmw7y9oaU
HFhcg7etSa6zBTMLxSN5LUFwUdsBX1QNlZVhdywaXHE/otatm40aKfYqjNXYzw1xBuLkZ7TjXT9N
R49xEKOqbLe0MyyKIGS/90YG4am6UyaUh0anYsjOzXtCFxC90AiN9thdfkDOv7RW2Fw6TA+bKWqQ
8YfaFhT21o6q6tIxgSZIrCBICftCJ6YmY71OZvdnjkR005Ldva5st2bvd58iCHozI4ApqB4SZ96V
GlaBAQxIb0wVxdg22WQkBOLy90PakpvE1p+BIn04S5ghV0+YLDhBtq0sI19nebJj2vBS40Ff9WgO
SOFu4QGPztoduXxqS733imY39SgJPAdc0Ezw0dI/AXVxjkVy16uGGKGTrOkW+SuxhWcnpgBEpAJo
qBmVRa9ZwwkyDepkSLU9e+GIvv3iZfnj1LvvlmuNL6Xrfa+brFm1RvYRJwpa215DbeOAkTXYvzLz
0qSW/pw1zvcWZQ8NUs3vQpvIn0LfRAVOM6Vrxy0xk3Dq63CvFQkR3Gb+2MIO2pDJsJ4WxE5JrDwV
CdE1LRkGQTnnvkoMKnO15TtBS7WvThkRdWxL20rYc8p2EzZYk4Opj7bQIFCu4Cd3EaYh8DzOWrQZ
FOMyGgTO19ABd9U8DKtiWjsgHjFuZtoudLx5by8J8D0cEY0NID42GehgCBnXIUldWGITxR/Ce53r
zRYENH2YjEsuQC+mGSuV8iZiFW21LHq4La0AYHNI9AhkEZeEiYEhR+Sk/kihOOPqf2zGeT+mVceh
D8p77ig+Z+45VWtyWPrO+p4zXUpIs1iXqNLWVtNk4Pl49wEaoqt2+d6IUYU2tMWmBqmsnZBFBDfM
hPPc3HaJMAcy+eBMlgGRtpzZ2kZ5FjBNnKGyLGO2WqLFXtkms+TBbXc5oZ1Zns97bHP3ue2UfuRN
Bw5q0vACfL9J59wWQU5s40RGt22ra6dqhvsEEz8eGXMTAY7Yqg3qNPgZCZE7HQcce+AWnhn5SIWl
HQFHRttgzp7VBKC5zkVrjLDneU5Ed8SFONGUD9PYPrvxQ2R2z0lHxkMfpuU6hYBUJPaBrdGErb0K
EhxWIRvPdJdNChSmg2rFAe3A8SrJHXUj7zmqiEWl732v6aG9Q1FW7BxorJYGEQ3DDhrBRYPZoufI
6QIGM1qj6xuCeGYn+sz4L9e1Mnu7Kk5/xaP9Rv9+J77iIbH7nxZVLnDx2VMzjVTD5m5vdeGOcIV8
5QZFsxn7Fz0gQMPxzjGgJkAIm7SGXvFZ10p6xK7LL3DcB50pyMoIk2provMPg9BYWQubtLLIXuYq
HIZtdOlLBz/GREg3hWE0eE3PZaB/WvQeXXeoX0r+PeI/m4uKhZeOQInX3CpaUn6yYus1xmPiih6s
7YQbrRM1iPm2r8tm2xIqs4lrIlQLQwt9p0+yk4vLVgpm/7+2+P+lLdZd+3/VFl9+vTWvbfo/xcVf
L/pLXOxZ/8fAQAHYATyMik6Y9/tbXCx0xwBubcNxNcdA2XsVFxuIiw0dAb/h2eh9jd/Exep/IybW
8Gn9ISYGk4OkmRh2B/KoxVf7n2LiDHanOgfRcC4Gs5vgZYGuvJEqqUCUOuXS9ea/XxeKCrknq6r/
+9tw9GKIwMDRmBvNyJOt/KxS9qLlKweTTLvBic25yknkyu4h2ZSnTJCEHX3c1aCFU8EYjsbn0i31
Q7GMMOQEh9gFSEyd7sB7VatEsIoLoMVkrQEwTqoakNhrj6LWZxJF1gXhgnY/7NQIirUxLLvRq74F
LmpBQUduwCR34JI7sMm54CdbFSTlRjCVR0FXDsAsZ8nwTDXgkAn+sieEPp1gMlcwMnWjgZEbKKge
ShrHhM6v1DlUN2H+7IB2HgXj2RS0556WMvYL52ipkKBTkNC5YEPnghJNeNFqBhutMbnPwUgXfA6z
Rj3dMhEv1kgpbjxBnU4FfzpwIVGrgknd4ZZE80vBaCbuMNFaMCxbR3CsE0G07qriWU/CfWtbggAx
fI5mBIR4LB5Tsjkg3ELGDgQjGxFoJJjZtKKfQzaU77jHVFC1S2N095MgbWt7XI+VpSDVHYsL4mnI
BYC5C0HoLuaPQBC7cRJSpRAU7wWctwPW2wtzb10yyPKH5lsB+Bsrobo2IaHdzLE6QRLP7pqojnZk
TS+CG94AEB8AiS92aaElqXatk98vlfsDiTQ0TEEfL8Kay34/0B6RbHIg5VOq3LhAyw1BLwe/8D7E
9exjD8RIBuKceQqQIWBAVGefgcISqSZ46KYKGb0XjPQIWHpCeK7iULIptEvQqGdmCwxuzAWQZeWh
ZKjXKcg5JsqotbzXwYZoXVSRznWSQDAcW9ie3ktMnZvEelWcqN1mal5tYhvrZJPWZ3fI8o3JAbnS
UgBLTGzZemV1W+WevSEZTWGXjmof9OsttEabwESohAZVdQKz8OWhvx1Gt/RDu3zGC0CEgF7V234Y
RuK5iGDMDZ85om/WIED0xXqYZjxoYVRSJ8WVi3qZQ2BqjlVNOp/tABie+zIkrSao17mNbU/Vo0se
LsxwM2VPtmm/5qtGGzg8b1mTv0V1vyEoE+2m6TwkXfZLVUUL3IL7yezJtmYAl+ZrwWx45TC58wc5
7bcOUGY/KHMFvtHdm4MBHIVZwwRi9F5jMquH2c80Sn1Vm96WbPgBJqLZ49Mn2KIrXt0Kpm9Lcp5i
GE9uRVm9H9lWil6TbdGdFO9t0qpHcX4FvGB6bDQTk0Nx49UjJrUe2G2gD+DDTXVXMKw/dUH8aaf5
A6dHf/HCZFeCevVj6oyKTdLXGOnlCjhXb3zTi+pbkxbBXlEtxjRoT75uHGKtc/N7nM89w179Lmns
+7RTPAYmUU0yGAQwrXdJfdYBGCvxnZMOuxHOPZd1PN7YCqCKm8ep5JhwkindEL9sIe29SbDTdzma
FY4uU1m2nAAMS3tQSsT+fb4GtGGeaoWUw/i7tdD9WLp2WSU18Rtzm50ylP2b+Bgy1NjieWSAm4zz
GXn9jt8CFGQwb4x8uqC1Z9fQ631fm+uwm+7qLKRgEuLsd3KiBJ30aVaqCh9fZWywF9yEjvsGl3A8
N8yo3ZTY2qB1ACu6DyV2gG2Y6RQgase3ekA6lnFLEI27otPADCl1Z1+xSO4xmdTdU4ooboPaWpOM
Vqk1YH09+WF6aEMrZkshsXUMhSnmdzM+ThPRfu7CMSY3laHfrwrDvM2ocNdOTuHrpvmzCqZ1298Q
NMbM0tgAKaw2FSZvJPTWncmMS6N+HZMYu9ZHpo9tauUXo4kfNLtf1yjR1/QJSLBdlLfedMnmqTSo
OiZMHtC75FgMxNdXLmawYBMMuB6zcmlWndDgOyYTSmW2gWUh5xh6BwGYutWXCP4Qxdj1THiqOLSm
pWemaNmznyYfeo7GwzKPzaLjU7Yht8BU/1WPwwsnJNYmJAv02rmMyo+qHG+5GJwbWjkrrBPkM5jZ
vaeSAYbL0UtmihXjZ6wj6Cvy5lcEI3zVBSOXyu5zDmaiI9LoW9K11Z4ayqbUwgXwQPdJm2YikdNF
JOaY59iq0LNpfurQmCZ9st/YYhaWosSifOh+Ll3O5A1lMGSv8NB2zPbxtucKkHcNDz4nLutWxbt8
MeiY4rCPyhvaI2/jpD8083ymC9IfomEuzkOwBdxKS0rPniGkELySGsOuK4jvSeL5jgH4U60WaFoS
j2OHsqO1oPCfAxjqNoNqjOc3XS1isCoOZISJqQVRv5scoiV+eXHRMlRXGDsQygpK7+SBdvULd/rR
jdQNgsZ4Depgbfa8d+j0n0j8Haw08bmE7oLuPL6f82dXDwm1ye4cc6nXDqQKP53tTysjXBEsCqV7
fdgEEdO5znIeeEvcACknvVFN7mKRoMyE5ZyOtXIe+uikVh69G5j7exPi5Ir6JU9mtlfX8wkL1lgx
ygAPvRkqRAF55mVrleNpVfdwqeNyoE/otZtK037Vg0esETXc0a5e8tqK4RYVnx4R8wjT6l3HkA7x
O5NPrwv3Q4tLuM2H8USvZK029OzNZmgYXTQuZSqqyy39BbdmmmRzYkNNDpUGpn+cNgJB6zOr8kBA
DHeMI8l4nLApewWGL4PTsQ+Gat+50ytwcXiBIEC2gzH+Co+KVjr7FrvpplyUH3qSxLupdfoTYwXi
IzOz4mLvETWsiRS9ySzXWVq/acyUDo3b7QNijc+KmoMrcW/nTh/XC/TvDbwsUt8UbdPnprcx4ZvM
xHTsqWXu5g70RMvGoshNx8g1q406U07NDAwD/H8Jwsv6V99zwoADxvQ/ppfMuWxe0RaMLrVF1PNQ
Y8VBDZ/sOicvb7oInKgGk7C3VXYgjEqrgThtB7AJHY6ec9FeHeOPgi1ZLzr67jkfDw68NVo4Hgkg
UzBTF6Rh4VohdV1F5zASUKJ6tnbjwpW1Ch0fUz7GMz7XA1m8pmsJ5EulttKORbahkELlbFLvldao
0AVG3bYh2Gw3JNFDgcvhbCmVMLwwYDDt/oZ9gDFIdqgxuvk1FfpVVQwfTpt+LIn6Bu75MQDhR7Lf
JDjC/c86Wlx/7l3r2CRFB4taj3zLmp/oXCZ7WyBzmsD45i2k+JU0nNcULKxg+DCRjeBgIuqvX9rV
kHHTzBGZeWTy2XF5Koz+Xe9C7IJgs3OAvaJr/i3P3eqemI84sA5uTYga6GacTZ4LlycuN4nGhXwJ
q2FjuJRJFiPsz60zbe1EBejWOs0Gf5YCVQaCMTXMW6tQx53lEGw1jxHZdgR4IWZWhm8ENNyWTXPB
cEM5yjDLvZqZyAK4rqkB0TYRgaFEacWXpKR5sWDxp2xEQpSt5MNarTQO3rLu6U4wsjFs0voStDec
lOPqrCbhAL25/qV6aX1qhclCLvX6eGtYqnbQFcJzSoccn8kZEXxElkEra/yuzDn5yul8NtFVXCKH
A5tsvf2czCC1uGzircmKXaIOsLLm5DLlqQHNXgzbHU9ZMXOs9noJWlgJgxvCuqZNMlQgfSwS+8w5
2HOhODet053gncX7Nlju52QI9lMKIWVUnePkdMYqBeCOXBhY0AA0xosxjgVJrT7nrnGX0JDDvgzS
UQ8jSvYOce9UnGfVOPXVlNzUASnenEh6rTy35aLeTdSgDW2OzuS9/MDSRtaOGQT7dCq/gW5zT3lV
P1peBdoHp7WeP7SqCzQUmJ5fL3m9pWIZ+J6HZy7WbRuxQeBsR3chJ8tWHtV8RIjJzGJbDDBUMlX7
3un+wMht1Qz5eBn1oiSQ5RwGNJYXl8GpjLLK/8mzkklXf6xz0+w9DhlxyGSryh24LGKjoFRzzbZS
K2dDx23ci77zUQZcET6a4lf75z59vBh/kpg/6JiXhnwGAFSEn1+BTjLLSd6UeTiD1x/0U1gbr3Fn
9BCkTNxZSg393/NysUhyw/Hrfle/hjjovuTjWqqInAGheqYTt2kiR2qJ/7qJjXqjDHTWenOKhhMn
cmtvQS9yphxvlZQ65maQ4AATckhYyS6c1/a7VMJKedv1ZhQaOHl3VmjPmVaz7VsiIvqwCNdSJSnf
Q96onNiZgDi766qvD2hqsluGiE6NUEzLdwtEp5ioDqIsris9M6YxTiLEVQ3NWAtVrxT7NRApDqF2
/k1G/JtqVsrKalGhnyPlVkpMmXhQYu3ayd5N1A9SkYTl9UHO36UsTFHRna81kYlFqBXzDRmKhfQJ
D4UQEUbCyyRvFPEv2ecUzYFOwhcjxoDuBoB2tpLYVHJpyo1F82MF/xeuK5lpZnhkFcilSrVoJJuT
89JzBidaGdubLUTgZUWNbz+7aI9FEBvXBXwMiAePaSGCJOR9vSG7jPEJfVbFWE9h2Rw7YfOSS2aT
Al518E0KS1grbuRSRlK43+nTj0E8NQAa0+XRV/iX3PlijbwH6B/87oG2AeAbxBxybwsZ62i+/OFs
JLEjVjTQHSP1Y/GLQePXZJZbUwWdKdtFCZi5MCWNQN5YAsxOKmx9HMF0jSp5anLVsjjlBhc8c+Di
Cb0SyQ00jasjkefl8f+ydx7LkSvZlv2Vtho3yiAcqs3ehKEVdTKTnMCYClo69Nf3gvPWZSZL3Nc9
fpMgQhKBgHA/Z++1jWVJ3S0wmG9GqyMIWm+3/tTe/ZP88l2zOUW4baHw4gpcJPO+8o8p9by6r27U
3VkL4PE3hY/4LWcajpoerf3cgRijuq12HI0pAwGWOeIjB+9qs3wD9YXUdxnvu3Kx6hG7y2+iMhnM
hTZPAF4FBrTAyw7uXuXzuZorj1haswaBBaDawLy3xWBkVyrLJFmiTVSOScqBArEvMRbiRXFUNxzT
fyxNTssJ//2+elpXD9LlGjb+xBz5z/eRPayjfFrut52ZN18+fNosrfwg9R9jtYQB1IL97m1R1IRp
c61gbLI8mPQg4kGhcZ5/f2WPAwg/IDdqSb2wH7kOU72BybhElphJt6lsgkTUPUAIGAGXx32r+VJ3
rUu0KPealFLbRg/BxCAXsdeVVsTrpKTTZ/2ZdqJyTz7cdYxi5zucVbCy4dN//3jLkmBtRYX7YsmJ
UZv1PTZGPTYsT6ilf/USlIT2vi84oyszKmUmdsOSnKeNFjYO/sZomWaL/KYkKJhrH1m1ehgSHaCA
8a5S36vFegKd6yYwPMbbcqLB7CkZ/rvl9M17SBm3Xs/1Ymgt7zT1a3bLj/bLojKekpS3d+Oo32Gf
5CT5lo9R+oXYp4QqqjAHy+m9DXn2hJlxKnlffXU3VskPf1pro6pGBNAh2lzORypS4i1d4v1+MBBn
5HUaSRA0q1QehVoqOH+OvRnvKRM3a9MmklQ9rm5s2YxXJCMUNFEmZniAcqLlrMIBFDV7tThqFgBH
WuYgbjn55kvaYbIsqbtj2DADzZeQlDZ7jQajP7wbI4lncTg3LUbJwdCIrCcz5fedcLmr4nfUPmlT
f9sag7j9Zf9Wi21MKTQF6L9SdysrSneZYZx+eZ3as/XWuDZszdr+svOr17z/j9pA2FzkkLbUY+AT
OJ6KcQl+QZX1toLqLdJZgArjIuv19GFeJ0q2rMKcVIRTtFwHP9xVT2Aedlf/05H57+QIgGexgGH+
e9rL9Y/+9fvv/Zi3t/wD9mLQdLGAvTgGcEhH92l//KMfY0KQ/AfdxaQB41mOT+cGMDcNmj/pLpbN
U7bDo54wTc82nP+nhoy94GV+g3k6huu6jgnzl2KkST/o94ZM1IqxL5rKukTITJO+sTdMHeF0o6Gn
RttlK6w0lO/BEVURbYsZFFga2edmUfnNZvMpgLyNwAa9KSHYxN2bzYak40oD6EFMK1K3Bqt2aSKO
1ozx1SDRLWIAvelAUKwGMV/NOs6jntDCrDPg1Y3upyYPpo2fMCL0jeI2kKW9MzzO9aG89JSKzZL0
xrmpplUxxwmd6vkorcjbNwlcwG6sKQmKR88KjQWQ0EKQ0sOVDrhqk5j9QW81HVWZTfpfN8qnNmwe
6aw+NZlefrZ8BLfFeO17gUTPgw3U6odxpVMWPnqivoEFQNwJRAOgAqigaR5vAnQopI24xikwxTHT
u/xW80jrNaJh7ZuAXJBf59Q8sztNIJtbuFSFqX/ulkaQMZ98O9uXQVg9g4+ibDNd5iqK1kNfw+WH
7OtFANNjmtWbUZ/v0uHZJqaL5rMjmc5Qyxtm494P++FKvQO/BsgQh3YAZM94zbXEh1+AEsKVNJLA
+WarJul7pji39hxXCG9yubE4v8U7g9hhhGQgr2X1s+sMeug6LGCqdehiii1+xmDri+8OE/QVaQWk
3FvOCT9DcI0wDZLmPEn7ZkBOAJX0RtQIRGna42z1h5+uHJ5HO6/3yP82YRK71HCIhelG0JlJzDQj
yagxwbM8zIQ12SgXAAc2xcpdBGGw7yhpmWSLM4BclcCer9AHFBKCTev1x75DzBK74dK1J8g2memR
95pxWzVDerGmhkzOxr842YRk3E0t8INEWvX9MbgNEy2+ZAQwr5dtU86J9kiTpMqg8M1lTuzj0HMc
eBM8GrRU1do1M1hqtX4K0ESf3QdI3uE+lCX9iu6n3fTBhRjjrwWT2x3Mun6L+ozIVUSChD7qn0MB
eC/0BsHmCU6z7pdEKtGZ0UJx1ROfdG2RajTkIXRIZlnlPFifU4I0YjwDcYMbgWHCVeb61ilhtAiR
XMxrQ2BuEXH4yXdQcfm1xW5LXsY6yHWuayNJBJKMnsAY+wsY7iuMof4uigm96TVI7jhzsj1aa9Jr
kAoEsvFuWeu959CTCIfM3uAiIOIwLT4TNybPHvk3K2k9WlnUPddd8ZCFxSeaLP267DN778egk3EJ
j/0QnhqEpIcpaphYk7ZDEN0wPzkkIV4hhtJeNSu+GIMcUB35Eg8j5xAv6PeGph1SYenXzSLKCmaN
ImecfzaXalhuooMj8GsJ8ErsXQYe8NrLvXMkzHy/nK4KukRIWUOqMM+AGi6t7nU/aow/Z1cPzjPj
pi0FZHyfCLVPUmcbTGZUrnWtLS+xhvgHN+szyL2AOXM80pjDZAQOsT4GHuULotTEetbG7CbwieFw
3Dg4xJXILijVBwRUqGrCBtEM3O9+Y0uJOonMrk3tROY6aAp3A4aP5F3DNnZN7wfrJB/ClRsETy2A
oMcuL1cYGZwVAyKxSnPHO5Y6Q6aQrBO+ZztZbAmTHkTcI/wtk/wMztB5u8mS5FLYwUG6gsONn5yU
FXllAFwmnmj8wSjQfkjDWCymGNBPU3/qipFhaUvste68UIPE0RDCNa8YUBFT3KxwnGhro8gl0ydu
rOWGOAZUPu/31VLBWDGj1Uvu4dvzsPKYES731fPvd99eqR50G59PUk/9sqieGulHbOVo3KqPUC9R
j3/4xI6hzNHCwu69mh7jzs4g/8yfldm9IvX7bVErWYyW+2pJvUjdvL8nddkj8JLzGuDGqN7en3p/
z/tj6t3qCdwtgix6UEcTcWTzSj34r9dAU+ulXvD279Sn/LL49jb1X94W0VqfONyZAP+58r989PuK
qaffnlEP/nL/w/dUT49NUK5Gt2lW75/7/jrZ9A/kWyPzed+O6m1vX/D9q7+/RS19fLl68Jdv9+/X
7O2dv3y82gT0+vAiva9hRYcDKmlG/9rU2NLq89UNyXGS6dTy4/2yEuop9aBaqnxxqDK7geoyPoeo
md/e8PaqUTB6Rz9K9xpGDMnhM/8ksC9JWUBSDkOB9otqOrqmu5x+wtGdqCgk1cIMGIslalE9+v5U
y5xj5wTa8cPj6q69vFl9wvuzb58iSd8DZ/z+iTRqr5KK6c5YU+fF6Z8sk9yYDBJabsuiVoN5eLs/
xahbI8iv618eLIKU+I/y89tL1BPqfUE0GdtRH26CNPY5Dyx5oIgfQGBA++bUH0He9fxTnTLxY0Jc
H9VSs0zgLbjWK9FmydrMjxjar2M/AKO0HO/qEK3UqaAyr83WNDkiy1Pjz1yuUn4zxsAFqUf+Ssr+
hyt/cCYn8qKYXjKtwjaEKgks0nIzLXNbdeMsCaf/6u7769Tb+DXIm+4Rrbhutx/H6jRK6R5EVVwh
3fhaRH6zbRqScK/8mVq6sIbnIHceStpFyB5o1FQoVI8K+6HqeupuPbYrgUtqj//DYogDoIQajO7D
2CYIQ66QhXZUKcPhqG7ksuSVKcXcnFTRvVj8TkuqJxTU/qgvS+pu1c7GjhzigzY60UndYHXzQQNw
NS/x69NIbEBtY74hy2j5SVUNU91g5bsyh8DdK4vpuMzx1E1HdGdl2EtwZgUWww+seOeMzm2zhJJO
+EdWE2ALii7op7OAULAR0IGN9UWoSEtyJzBoOSCS+pnBZmslzbo2DevoutICTqc1KH0SHPRL3TBp
zJwRNGEUTl8/w3i5NIxIuJzxUyXjPb48kHt4UsyNlUIyd+o2oAXhBAcQHPY0GwA56HMgE3AFShEX
rzYylMU/rdzzy9Lg0POmPfbGFxlNnDsZAKZNwbzlmC9BjoDO/1jyHSbbzAkQpVv9Uf0G7Nl1uw+7
mr4lKDNky2x/d7kZgJwf6uxe1QT1pbSGVJdCYZBZe72Ww+7dvJ+qBEdVm1a++2wuGBowzFNFP3Op
Ktv0I/I9NVxgILEVrt7t48pcrm7CaUEiWTkhyVphQGYSyKgUHcSeKI2udHOia01jUzEd3ndAtfTh
sakl+Dwa8Sh4y9nQd8uEMeNWMgpcivxLXuXylX6577hRvGF+FoNjW04uH5gDqnSuvrJf4VkiwTh4
q5+rr6d2uFwBR1TZXu1oXgC0hyDCd2+8Wnq/URuhTWkwLjSaD1bzN3v2O6cCShsynVbW5AGx96hd
SC2937yzLriaMFxNxN5eikyq8h3WnPXVzfvdKdOfh5A0iGKCVhkP9kzeD2eut0WLruFVT34ehr0O
Y81S+E7UXr3cfLhLR3NL3gthrUuFWxW932+mhYil7oYmwnx2i6M3WADpAdX/aPUJN9WSj6tuoggE
/Aiwe7HiBHshil0o6fTHqdio+rHafu8tiQ+AljYrjtJsjEWc4ew6+J04qNiNZhzHE63dE7VhE7kX
8WzJgJ/jKrQNuZu45qkvJDik7dLAQ6f3hNtJJoFXyHyztYkBkSOLoGwT0FaCn7bXzRsvcAXSEtc5
xpMwiUajYZxGOunSVnIO4+RxGFrgobLKUBAKNPtLTblLPbKaFw5M4ZmAVRaL+ttRoOnrvujpgM9w
BqFuhacOxFoTTnipFmAJcpV0S4bto9ItqR9eLb3vDC5V8aN4KMaiIBsMueK4zI1E9joapXX0G1KC
3eVGYzKo1W26UjVelXId+kNMahg6PN+nalh7e/IZCMzunrrK18i7zcI1AHKcTv3CYzcNm/CJbCQB
bkhOrSi6nSuruzrF6CRmV+M4z7QrALzwJ+uuWzc6wnCNph7ijhKD9UyiU6THe6OSBysB6tYVSLZU
SnUrOLEJfG4U3ZeThxGUNpYZLrU+/aelP9SvhOHVBMUwbNaXsfa4XFVdvDibrNOeLFoRhdlfZ7no
N670ST+F3ug1zePg7Cymvau3TxclD2dp4K3V/6HDb61q/ZwX7jp0m/oqH9H2tBCoHKdc51IHnLdc
5+UAMTEyFr1Fa5wrQ9dnRBw8pp6dkwj/p2wfo45zzTyHn4IgC7ZJGxIRK77OQpsIAg6NU55c4f+g
+o8B7BjXPZ0YidEmLwLUOG0CKnhGR75sALoTEt2Jecbwc9NQF9joMyol7SegqvIU1f0XQ4bTxhvI
OyH5DsEmjqYRQBcwLg765abQtJBSuf5DSI5Fr4G0KPUHWrHxHjb2n40QtaSq84FvkPYuOlT//Y3r
jckmiaJuVXBCQQWfIVdVL+DoxV5LVl9DHEqCSq0ndLYniXuRlQ1v3y2qehcxxuBd1c5y0l1u+pwu
U0+RBbY+p5lp/lxOzVOotTOT7dlYza7B5nHSJ9ykdEXSoKByHU+XhGCUtUV2gNdydVBbJ5+WaGwR
m5jZtNKHNAj9gcnmP3Mi1IOKAwG5/QSAOSK8nheby8H1joJQS+plzjtjQt1XH5DGBV4natYfX6de
optOuoEt/fPtveqxPBkOMTlRq8L+lupAAQCp1+uhbEOYu0JbSzt5KPJ0vvizkd5PTTDvk+E+acCO
WSYuR/Q/lNC0aWsFlsQOOxKX7H8Nh/xprib8WBnBYt3YO1fVTKLbPNc4Wp3qc9gRzucZgB4zwKtR
hya6CAmCsHrMd814omPYfAsIT7oaKv+lVHixiZpS0Ndg8WU3oMmhJqnp6Xgc+lm7R+v2zYDz5Vni
RVoe/rtwCG7cKGwugUEASpHG06vbxOcZD9Mnk9rXnhITNNre7l9S7aSeH6wM0QnYgyMCgeChNrpP
zjiPryKSYHjzwL2m9SuvC9kBtKXk8oqA854MIhCTWUleIjrUQzsPiFGXJ6V+ZYxd+ip9Ug+62akO
CYkFn5povlafylZjV49tcfFjdHg2deEr9QTBfs9Rgu1pqBrzaAsshflEaJ7eMa4vdXKRCWN6rg1U
Y0VhdxAV/flpqKKD+hJTO2C2lLF1rmRt3DL7WfTby5nGweYqJzyrgd4Ed+4cGyc8zxPVNdZ2pqYw
+076JdeaeeeSB7szsi76AjsOvxAboZuiEVSNY54GFzWtnaJkfNs6IaKouI2t2z6cjHNhwb1WHzmB
MetHG9tagbqpnEp64Ti5nnOkUOqdUQlavJWWdZS2mz4gsH5Rj+tZjAAwDMYbc8qty+y0Az1x1sGI
ymsv0+tPVAbLgxwbiBKaE77aw9sPLGp2p7iRzqEf9O4xTud79YFDhXKwt732Opoq57rEi/r2A9pe
8cnUkU7XSIQ3suvSo2EnuLeWTaLLk09K48uMQZIuvhXsTd21MdhkZ/Wpc+QaK7WLYZIObtRup94o
algndmneC32KT5GHbk2tfmEwvDTd8ikuAa/kxCJOdSUOaMH9uySkwOpPVvGt6MQRGqP5efRmuK0m
itAQN+1dOGoIu5ZXoKk42I6WkAYrkq2YmvpYcUK6k5ptcAzm5bd4FLsA8+8X0g79TWSh1omW6qhR
Onuf4OG3z0FVjEc9i54ZbZmbJLS8owEt5XaCJPv2OXaMx4swvOeMXvxGc6EDjFYR3TYNgZ/qP4V5
SZpsHzxL3602aZUv0ZDYpygTQx1e1raBRY3bs30JJ5OfOyAGxfXy+kZH6fj2GQ5Gpry1vZe5JiJo
rAyi60rq0Fk092+v6PDI9fMsXz1pW2RaivaMn1a/the2i/ovI+cAP/Fes9Ib1wQfWWfpRNW1KzEe
qhX1+72DMfGsXqBXnVy7bRNf2tb1Cc3tgrdX4SOrksn92ncOdnfHlZfUa2d2QSOhhC+zb9kfK1Ti
GxzFYF0sMZSXjP+1TpvB+Epd8219at1bdZoWXQdaE5zhUnfr2hLZ11w7qfUx5spaFTSjr6se8X8X
AL4JZmDmvfisXgDwZiJlohbXLbFZZyGJMWnDVr8uifKgxEyZWqua77R0KEUOrX6Pkbji2jZLvIZF
fz97GkhYw6m/S6wTmdOJ19rKtVVGBjPRbjbaOtZx02OnfNLa8P7t0/zoofJK+ynQMm1DNys9uYYm
rtmZkJBHXvDq8WOpl6ZWi96xi+t7uxT9vkwDOFplad+XDg0N9ZKiJFGK4uwrbkkyltK6uUZZPpxS
W9Jl7qv6s57Vt+qlHD2PHfaIJ0orGBU4JI717EU3Q+kLRj6F/GqB4xfLN7aY1BKc62h3xjSZewZP
2m52rOTBDSlJQ/xovkPWxGzYay+JRhpqSASRDJHKjeLUht64iXMOLzGLa7V5iPmGK9DET0K29RbI
inE046K5GaWmo9OulpHRZ/XKuQtAK/SGcUdCs78fJkAZbd+cxq7uHsBXlW/bewqJMhD+9KIlFcRL
LJsXFC7Reezw/neBG32Zu/Sivotf+V/0vrM+uZHWb+eCiIUUxPqNAaodEAY7nNFf1AaqmcmBVZ2b
ux5aw4G2/7Rr09B+iHu0OeolAblcHu2qlwDf0Zp00OHimlp5DoRRbOxYtl+MnGi5ZRtSqXuNo4Lr
ZI7/CSNxvjPQGx6cwvfunJlknKiyxLcub1ADNNpz2lnBelhCdJByR9eIxGJ0s1n7Nffupi63v40a
oZK972o3hJyY2D4Ehs6y7z5jZr2oz4pa/aeWhMkj/QV4EmM3EpTApdsNSSJnrW08ND5szsD44ttz
v5mdaDwlcxHeEIILJ2xZH3Wj7nahr117OjsTvXjA/8vblverVxB09D+98f9Ob9xynCUZ5N/3xj/H
8lu5yIT+9kdAyuH7f/3tj3f90R73nL9jOjRtwzbJ8yRDk2b0H+1x3/y75xlIHH1hwYt1lj71P7rl
7t9plpvCM3jGdF2L1ZBlp2JSzL8LH5A57kdh6p7PGv4jqeX2LdFSfrj/vwp6tGVctPK//mb8njgK
NsrHMGnpprD4OMOxPvTKSWiJUjTdDkFWZbN3g3a8Ee09iUw4g4ho2tJrYocvaH8bs3Uowmo5p02b
2LX0XSeGyy+b74/V+211fo+YfFsd11xUBAbOcSQFv7fumTWblYkH5WQxIlxPALO2ifmtn9zqRi9e
/SqoVraXk2PaVzcDzZe/yLj83cr5x78XDlsXsLAHD/T3f+8nzix90xWnZgyeS6/vHuwx2DutLKhd
AzEbnDbHUtCS9dvHu7/47sumfs8gVf+cXYV9hYgb3dU/+kgbMpHDLqWomOaD/VoS2LRzJgtRPQnU
SRObj5w/Tos/DuszjLHku5Nn1K+T/JRI0QJ44PwfRkRxg3Sf/ypP+feA1LeVMxBb+uRIGD45qb9v
maFO0TBrjUAYLZtNIutnO6thotWBsc0lgs5ORoSSiXCt2cwEtTjfZQBg12lvPmSlNh3IuagRaG//
80ZTae4fNhpHg+FDuzE8MoM+7DBI9WTujrE4RX0gdmEdjGvZEkBRBP5PPU3DT0IH9wPmhV66GNYy
6+1jVuf2kVCieJfuZSLMvSX7rZPhHJlIiyftk/D2wQ2TG51Cr0/k7dg1D1ZJVDiDepTkIXOHwRm/
w1tw7rryme4Nsdap2MfzBNASx8eL0/qftMQU91AebznI0gvCj7VOuOkd9r8tVUt6ff5014XBT1mI
5i4oqZmDErMOUeI+a475WTcL//yft5aByObDLuagsgFC4BnQEsVikP41XzgxoqDLwkAQXlHqWxJj
xdqxjXYN/VJeSQxZV/OIo5EROrqLovlWLka7/98VMQzOPAZHOgfUhwMtTCCQRNMkTkxL6D3o0SUn
vPh+7sZdZbYP00xiXzXJkwjEoW3zA7PC8fE/b4zlu/6+5+A1wQpu266OJMlecjK/vd7HRbicJ/93
3FaN5pSdOEEf/6mZezo7NMO66SB8H19bQlRF9Vent38+2/I/HdPwff5ySfiwt+o9NMnWzMTJ0jH5
NSUMRmk+lKF3WwbAyBLCH0+5ndB5Qgubzu5FF8hsa8N6ahr7Lw4d85/PNwS2mEQgOJbgh1jytn7d
AF5gGRQPDOtUpu25TAfrbPkgqTMq+knm3+ve9M12tXhN2Y04H8JstjN2TxrU8wHrJRE+UWVcuGbB
F4Jve0R4mm18J7snBsc+lFOCZKZJg4PXlue8kdM2LTl5G4zcOdy6N6DCt/H/hD/Kf3HhMP/5zO3o
yClUPpi+yMh+/zKBaRDo5aTiNIiJsf1cBTdM0yBHjFG+GxOYG4HvLcmAoLHshewo7W4TTM6LVVb1
vZyXWovO9KdLi61HZ25lDeQblVXUH7rBOvW2CakMGBWDS0oCuQF2BcPZRptCd5u5VghqAza3TRVk
l/hgQv/zvvq7om05+/LtIAwIf9ldXf3D4ZJmvoOTpWK/Se16P2oV3Sud1R2KrjxRZuzCsdz8539p
LPv/x+PDcZgOG4j1LPPj8UGfrSkpcFmnmGjc+zwMp1u4hbdGVUMYtBt/6+detIsyawmk5MYz6TR+
T+si/4uLsvH7tYcLvRDolV2kg0s23T8dqRXxlVldV9qxDVJqu4b+IDD07VwnXABz8bgzaextKw87
XB5q1sWUdEOBHVp7z5TdzqdAHoZN+FAYffMXF2379zPqsm6ux2iMQd/yE1kftYZVOgsTPSLzNVKN
gG25GyKekB/3S0Jx6FNf6miJsm4X3TXlyWAiTA6Od7NcV9AlmRuzdvUl3V47DTZcL2eM93YPzs3w
61Ma2P6uKdmNKXW5eyq1G59RGfwc6UMt5I3JZIsriDEIqjr7POIxBpdQG9de7NT7pZLBND2400OP
zDSIcIW0jy35OFuZoBIaI10nL5txXxrl8S5Px23dlPmG4VFKUFFsomcrNwb0qb0IK/0W1qVRlqf/
vJ/xE/6+p6HfxHtluYx6/EVIyujv92MXG2kiMIYIsrBJuZW280mHwbMtY0fb4p27scZg4KLd6esE
RNLVzLoDOXCSFSM0zEdBQ50+SbiO1PpYbGIPi6de1iRhWlN6SCBhZS3RD3E7JKRiiRcIzIc5SQf2
HfLpomq0jlPi0IVxnbtxydjOUtLtBR3OtUH7PE1NKFGeTHaDM1ADTULwjATnOIuHISLAjYwwrN7z
LOihQPjCIZCjQViJpcWn7o8kCa6pEBVXemNxkalcMuSCuVlZiCMPWtb3mwHF0imOrPjKixv/iKM+
6IbpuiABNsi6/GQOYUH1zGm3DA/YhYb01NajtZonb895I75zWkvb0WTyUR5+zipEE3NU3BNXjxVW
j/bLsKjJ+pcJORilZPkQmTWIg4jKFymqI2AuangpJkCs4eK25Rx6M6AmW0MGjzaOXg0Hxv+7Ookk
geDIQYlocjeplcHqnaSPDbmBrUujil/PHI80nYJVPWcAAgA4rPVcI0wDcWxSm18w/i47MCpcq6dM
zEX4IctekiL5Ytn7bDbijdHBAXNJcj1LqksryHyfyz4MD51hv3b0jzeVhK09a8gNsSGUO+lmxXp0
dY3pfG8dgU0sCJAqFge7v46x1V0kyEdK3z3wW7nKWt99GMLZvyqdYAveuN3B2XWO0zx9Sop4OI+J
tUfEHx303PlBUF6/lZFfbzJXlpgw4ngLnjZZu1Eb3vY9+jQdiKeVyeglLaYb4RXkosf9PU2vtRws
BvJtd++kfXoOsgIomx1AtCB6jmF89CjS2r1DxdesvJCBR543u2F02kPsQbRDQvpTOjK81/rgZ6Cb
wWawUzIwoszfAfNjMGtn86UInwBmNESmT2hQi+iaaKwl2dfzvlBBJ32ruNTJ4J4CrP47Bqr4MQN3
2JBDaAFCnZpHos42flPR/Q1Wlieney+PiEuOyA20Hdr+4CXmCh2mw259MPy0WbWuRlBURRz0XGz0
jBAv9jVrXTYd4xmD38by8eVEZuFxKBFyU4dd9baHN4W+afOAPdVnyaiDnz4F61M5l9+xrZHK7c/l
LdyNa85k4Iij2d+FFq4SW8KW9Dti7qX8qnFofAqs56QY7v00Ns/zwMjCYia9qyKRnAYAMhrkzAFp
0YO0wl0ohuAWa/46mSRtGNICKW7+iCk3bey8gflEzXblp31J4O6MZoUyqEiSaAv0LMT/Wb8Ka5T7
RvrVXoawOUFac8Lwr3sh6lu+IHzJpCHfxQxehR9MJ2CjPzXRD5ewMyhrlpZHl83BWNx08WNos4cV
8VEaAD1F8NCYMXtF17nf2zOFn+i+NOmdVB4Db+FazY0kf3B28hwpNqx6p/7pY/S4ZLZ8lVlb3wgX
0Vc3f8UwNByLbpIbO7XIf46bL7EOP6d2P8uyeYmNYI3CJLpxSpqfMLXEevL89EJbkghk1zrakn8I
JStftTWnwLmmAICH5roTzbTTNX4tPadxSaQj3g5XS85AOp8apsM7m9LfivQZ4Bh++S1nSAFRFc6O
YVS3sMDlofdS3IhxcDEjSELmXDzoYxRsHd9aRPIvkT1ZoCUmF9iDi+O6F+ug7l8axaOVOx/eOqJE
uu0kfgGc6wznHHsGOLbgkvijvINCWQSeuXVaoktxXiYcdqXc0OllGlqaxiO+2bB1w8fOsOA1Zvmn
RiTjWTPS4KkW4gdtOzI45yllGs2a9EVn3WUVeMjcGfynzk/La0QQ2TpBfQNXVKeVamnFPkajOjbZ
DGy7/kz/xL8yRNjsm64bz3nvP0ZTHXO89TtrJGNci5zNSI4jBn2wbFZhT4/hedR7RtdCl2BBdHTn
fvrSh0RSG0m4NQRz6nwE6SJr7dC3xm0d1LxddOdASu+izZeGMOWtmpwVzIy3ZtuyyZpmsdp7cblr
usJdDeacMV58mAE2X42jqA8+Z6e7NMBcVYzk7nj2aUpnopgbNpmJzjvPgVPriXykOOaewhwIDpSf
F6Rm5T2Rk/gmaCdvnGEYrgpztD73wui3FV2jUePkZM0pVwhT/kA/H66LweoPRRBEGCUgAQ523W2K
cjcwZ1hHkZg2pZOO7CTmHcz7aeXYzCV8M4g4dFPE6g7mzKrIHl20ymdLnuH6a3sfS/n6SlbhdOrm
itliNd4i4F/MiOEqkoF9rkztk98YqFoRKtMKDW3Qj7jhiZDmmt+4GloEzikOyIZR04gh0F3rxhxS
uKEuKQL14H+Bt/8FqHyzHwkL25l+/azVDLNJvkEgQlgRBr0FlFvrGLXngOLYMrnwxCC/T4lJmwv9
wAllISmzI1WjWhQ/cwwdaw+N2rmO3LsWD8WNJw0NqkQ1bkkZPvd929wxDp/5d9gw/MAGdtdEp0yK
mpTDBu2vDa95xAgXMX+xpo2tz9bWKSMNd5VFF8+z9M0Qpc5hmEZml9AghK/1O7r2+nZMl2hGXCxm
O47nvknoRSVJw+/YAYEZS2b/gvqNUXvNufa0o73oD1FoY7CY++HIeVgvmBL77uQyH+8HIOrtOjN8
56Yp65rgT1J5ExG1h8kx9JPZZ9d+13yvTWt6icH6kT+6a6JJu4xSbESadNeSZKl1YKT+Bg35dVJb
FPqIC9yNhQXvgZCHtUktlYu/mWzbEXhgOnFaDPvU2wcl2OA+L4eNJwGLatA7roj1CtA5xcllyig4
XNW1ZtNa5z8mddTtKvT6V6n9DLB0OCd4iKF9tLR8zcQ+02aDnJ035llkR4uQ2xWAU/sQRYW3CTon
vYxcwXeWg+FhbOitN5m25cpobIbZ/+G23s+o7IeD9MRLXzjfqyphuiv0TREkLQxz/WuqBTFTEniK
tBJve1p98AdpJkemv60aZP7EzZ11q78uUIoC1G+fTc0/tONJIyuUiIDqh7CNF1zyHF0maPVgTHbG
SL8mEN/KaojIfMu/dKRS7/s05jRNL14azv2Yk3QQeLazrovoxXFOSzFsjMDBuiWhC4b9cywgP/Vm
/hW+2WfsAQdXJ1WZ9jrehDxkEGdv5wEifDPLh5FDdiPdIiYw9UV6VbrLR2PeTBBwQzSmh8wPg21D
t6mhH7IKIuMi6gZadyIvmumNe73YFh1UbO+xH4zoqhmtJ/hbV5PBzza004s9ps42jsaDZ+Otyoj7
4LcuXwmUf+2MZN+R0YCwwMCXhYrroZ+GEGhQIlaiEvu8edK6mCTLdAmTprm2auzvZmZj8AC7Qhpz
PS/8L4Q3+tdyAQ95vllflZUJgG20r6cebBdqy4qBcWqvrApzSQHQNGhgsONpEasoLO562BnkYncb
KCubwAKcAignpcPN5kmuoiZON5Fbn/8ve+fR3TiyJti/0mf2qAOPwGI2BL0oL6Xb4CglJbz3+PVz
I1SvlK+muntm3xskCFFMkSACEZ+5t5lJwGYpLI1uiuiMopyEWeQWkW5Fg4hN/VpSAbC3ezJne2A6
go+ifxywL0AuoZkL1nISbnXc6UFH7dDGnvK7qB+V3ApOGLVu61iz9ojow3ZgoyV9d1xMPDUj0gNN
krVrjVLJgvoPSEsdKoi0b4MGHJ6RGKQ09QOQ3Im5bB4HqZ/0lFPeNhmG6Oz7kOk/irgQe5uq26Af
tMBySunXPeDI7MluMaCzUtsyRxR7v4NkJGyaypvknRXv0cayvGtRL2zH1v7CjeGOueibDVeOMYk7
N5irLfPOaWtr3r1AxX0wqUwEjNvsy7V5yEuSdDS3N7tMxHtm6Bsw/KeiohV+mBnlPP1Ya8374rDE
sKrswLD5tQ0nlG2EkoAAM62MNAMRrPmox4wWRTH4G7rpr+y06GimyR5ZVZzpMKt2yLOpiQ7LQxlZ
C+MYNQFDTY91hyeZmxbJ4sErDiFyh9h5n2aqK2K8B/tuSQ/L7D0lIai7DN5LEKbhrihiC61QdNEN
q9lbvalTmTmiPijC+6LObhIxPdRMghk/IKvZmv9K+WeyIecd0w9mRfRCb1yhvc6NS2ue82jJ/kF9
Cp+n1nqz6qK6sgYC5wXKt7ZJRiqa97Of0QUFz3qtABJHFbefrncphxx+WuXdmgNdnHzN2WZ0lGtu
MK1opDPHolBudKZNVf3MtYXeasKgx8x8y0Y6F8mio2xY0dRrzc5Yyu4CjXEz9cb30XTawO3zS8RE
kCrA8Vh6Ejro1B4j7Rx/XQ99092I0KELb/Ij2tq6e9PkNbUQIAJ/yMkJeRed7tJSOYYwQuBh0L5k
1+1NQQVZIrz7coy7rWs5tBUa+dlxvzutoW+oUJxvqSwOUxLeVkoNC533Gl5hPmO+uoLPP7sxx6jY
tQbLcWoGPUzZNuXr8GBH42fyA7t8hzN+fsmTmFu9z0xZYB0Xg+VvnIB8GfN8p8D01drDRjQeK67o
AfoPpfSZNWzCBZBFF7mXtOXuWhjOIcu9r5bRBnNzGKPWOJpo2D13fGmdb7nZv2l+xvRE1sv2GxPR
xzbq7KvOAvzFKsc6VKtxSVqaCGIdQ49GtY09xcDgoi+lXv8yIobnYYauOfkshx0R9CK/AXkDHKGI
g8x378Av1HupE1kJTx89d40A8fgPU1Jv864cL4RAp0e6XI0dawsI/T5RImtt2h2FPhV3nyzdGTpl
CoaRNYG1+EHo2z+IeOpn4ETjnnRBSKsXQjAjEh4hrFnfw/TUtjlFCUHTeAu4tcQ8zFXz7vjCuKb6
8gJHPT0bCRNtirn3+ghH09QrdyfsOb3hddIbtQc6Or2Jo+LOWuL19Hkc3uBEETC9HLZbJayodAHn
i+tCPVQbFiU1GmSwabva6tJggOdCEzkGoTFv4pvasjIS+dW44OSYTr08RuE9x5Y+fotLHB7V3Eaw
bjTIC51+9po4ulEbqF5/7rkWrblztOBHicSzNbnf7Nwaj4NL0QKf7eSf4ki7kPPhoTc1l6x2+Apl
Qe0b5AmaxNzVSV7/yPeQSmqqifPiWILhY5m4iE3p0VE3aBmAvEL/wap43nrGiv68LrG5cArhDCdF
/daVKaDkLAW+FY73YgJaXnTcre1sXwMMr3yDOUysG1f4eDiRrkfJM2CGbj84cNIIbV+3zrSPRxjX
0IvgPTB53cL4enOc9rJSxoffgviYw20mc4bHNI1uhzzWD3YV73nZW4IyUZCsrOZ8BFWbDVnabJ+k
IHracXnqoO8sSeduWZ78GigDA5HdcAHJGGNsMftv4m3hEKUOCIkSSG+99tTZa/wgjPHSmVZ8N4Ds
N5L4eqJ0fE6IiFpUnF7kSDkti8WdO2JaW6bWlRZNDgGRTj85GavBau0KSFW+uJrrob+IrsHINpQI
zpP1pqb48MBNaj4kkOOh2yXagzMYR9uczC2LaBOkx+wAbVzfFquKH8leUBbSxxchGu3Y1tQyUz3h
3+JoKkE13OuZ5x9bphabtTC8R5jR7TaMjHGrxVlx1TnFbec43KyjHOFFsRTHLFt8Rux+Pnilz4ym
5hKNm+isJ0Z6mnHVaJqwGaGhpY1dnBxac6zudEJlgK2qwCv87hIC/ffM6WsRa9GW3LBz6cryEZTd
rZOk2UUWQ3eN515PdRLTO8mfTLmoOHDfxNHU3JUQhaCyCOPeiR+ovG12U5hEX8euuBFSgVTVe7By
BN1cWpVr8GzYj/pxx9XyvdLy/EghCwaWudECbwHIUnnPqdczvE/zes3/lWdGtW9n7gPRkLSPeXrK
Tbu6cuLqtW3a7tbGLnBc6egiFMjd1XTmH/7ofVlNE29ZaxRXvHXqcguTOhWYP9VknZmoZodW2C4r
FNu9oih+77G4zWw/up6WO3O1EC5FQMdJScK9rSFJJh2ASTKC06Zz2uWhZnrf0x5zBe74q1kVegAY
1znSYq1dRFM++ku297UKPpbL/b/v8+JSFcRPopGFz+xHX9s6fNGEmVBRLx6WyW4vFFw8G7ljXCED
psiLGN25XrVnfYmrB8OyTiy3xbZq4HupxSf+vwiHp3tNpCi6G7oIB16J7i+zouZQED+8rvVRv87t
1LjudJr+yMf6+67T12WjDqrnTKUzXovHEpSpZrvdfWzr8eM0Zd0+IQdMwIopAJ1HUodS9Pejb/cU
5eNkquYc/+BQ2c4FDZO1Q22x4M+0S3pRZjIB1jARHSmjgyeejFprqakkjLFWQBHLatk1LH+O0+Q+
0WXlH5u2wK6HOs4lLHqoJ6wvwiQHzp9OXsuc9FOdsnzOQzOgi8aT3+OHeDW+6fO3dAqHrZUnNNSB
8ut0feQc4Ada6lmTjDXAbyVTTwYsnXXojhpcK+Fq5K9lkDOLLWxrZnYiOU6pmwVFFb8lVsVNddma
dnlNOp9G4MQp9xJSOLS3PguyzTQvdH80WfxqubGxWzUK91PsxkPs+kfR0VVlm5TH69GXehyWs9pw
HT2sdvpqa4KRVMwNwy6hllX13E7E7NVehbMopwTS7HYlcQOwhJTx6yz6t74Fk3H2XNB9ncOnkgtC
mvFaTVJsBtLOOK8GbWrjKJNyrPunfuMAHt2Ogr6VaaRiL8I4QE9gygKD+ImwLm7JtaEzNOuRNu/9
2Djh6vA2vZ/np052uJuL+7hM7msXeU6Qump8NZ6mZnYOo1HfTy0V1DPD9W525tsEJQISmg3qDD5m
a0w3FdWvLCcZvzpLOqeGFGZWxxwPOdIuHt6Lxp5Pnt1daRRtM5iv+DEL55RlRKObqIIBQGU4o/9x
KPhjIK4ux0wckpol3+JaiEaGNj+L2n+uVy+5R8exAc74PtiNe64W/uLZ0dLd2DM6siTb6HkbXcNj
HTYQmOsg1VB41GVabYoqtI6sYqPcSzYNI+emTsLlHDezzbIKKxRXw07vITPrhCJovvC/WKNGHXau
Pc6tLiMgG0DB7s73CO4LiBHkyfxbPSNABV/qx8ha8pQmBNZBYm68kS93utApO9i7YXZwW3V6th/y
gs871YNlyhqKWgiDLeYCE8lAJp2ud5Zx0uiiPxDlP0Su/UDBsRc469DsNNDEKyV8Tp/4uyHVbcIg
Lu0LGnkMp7ZBFU8nbDZ5YHgrgU3N+p4YJnaOvL3u7bY45WjASd6Gh7imS5r6zCAuQDyb8yuhOY3V
GiE9l2ko8UUvYr1DVfSbTpCoyOlwWhoZ8pmLfhfXL15mxjfxfL/Gi31cM/3OiOr+QOUMVI1S3CSF
bZ0qEzXaoKG6rKYBAUhLGttId7XZRjuCIYDQk2Ibr3p1Nbr4wwYRM6ujTQvq9HtjF8Pe87N7i3U2
Cx/o3lr11eXGsI8otRWGfQyd8Hvh69OuMXyMRHSQbuiecDYV41Kw1nOyg5ExL6yreTGSKRmkJ6eu
7scsDLEjwtUEouSikqpiH8aW+xDZI+hOM3xrXe3diawceCGwXiZ+PzDlgKr2mVzbOam0xmMdhFbp
rFNUvmeAeI6N4lE3BYgON/w+FS58oVGU+xlWKl5b6hoyhv1DW5Kn6QvvmNPa6ZfWlzCKvvsttsTa
Wmi6ckW0XZbE2FZ+wqjAajVOcKZnIclUikJ7DUi3KOcc+Q4R9s4yb7wlpTnGIuORtQ9pO7yuc89X
8deUMFtoSDuZ0MWvQoBajBR7kRIUSYbdqn9b24QQftLIVmN6gmqx7Fd/TGSb99aLChSe2s6dp1e/
liEOMtLbyUYv2TbFQasipulJ4Kb6gYwwd7x8pjjLWC4GIYo9ZWTPzgwFderyL47bwklnZrUpHCbN
fg1qOCnw8WS5e79q9o9Fp2MFiYJ5pqhwByyi2vmm1QbEnaftEsp+WEt+vbVfTrro27Zt8p272M6B
4DQhD8mMCq0DyVfG+KV5o0SMy0N0bzQe4Xrs52nTpxSMm4OB/I8g0MR63PeYgK/wZk+62DfT+qwV
1b2/Cgn36o/0TWDcq8dmV9vLfDfqV6mcSBL8ark94PcIiWqTiJtbSsCM9HFmCX81VVtLksMXpt60
WqbMSeH/B1TWpHQcug4Y8sY+OwnAYbtZvyPn7Z/Btzi3bjzeDqOPz6YLj74zZU+YU0istiGO1yln
TMA+kB5MjXzypDOJL+xlvJqY25leVO2H4kShZX3pmkPpO8+lEC9uXtVHsXjHJuu92xrOuE+cfr8m
bbrXcxYWBY4V3+jy22Qdr4rBmh8LUoabvOyf1kgLr2K7FBd7iJlf2dvJ8sMDxigsLB4TpRqTECEn
i3WwyeqoqKUIqtlVnUs6XzW8NILv32A85yFqns7OtvBfztpoR49Qc94HDcYMi+byuqjmG2cQ02Ex
LURCdfFa0rd0JIjXAVUUL5Rs0QdXW/oXM1rDgKYXmD4QRGpYyDRPNiTc57uSCdc5Lom82P7XSiY7
QjP6Yc3V12LC40ByLToyK32FwopCchzGQBQgsDP6Gw59CnOcnjeL1Kxxp0c1KHkP0zEzwP6Y1BoN
S7s8zpJ96dsllQt2QLeaH/iEmoIwqXRSwWSJIJuCQIrKt8obXulGyQ59aFw7aBEuVjIeM6pJICPX
dVAh8c3jyjqYBq1PlsMdmhyS2HYxfWxDXEfHkl/flJmgE3eIrGDSRUfMajAO1MX8JB/dAyFv7gVj
8cESeYoyrKkDvWupPyzpFEzd5abINdon6XrD+Eknv1OT4Zrt+8goDq7F+rNoMooX0NYljG6DzeQH
JjezLbsxd5Hf4MxajMOQ+A9Q1PUzMpwYC5lwdxSmBigI4KVMskc/O1OrE9G648E5RmWZ5eTDjbgw
N37ETRdcgrcHFvc9HDlzMcURuTnX1BlkJ52RM4BNY2wJ6GZOn5/WkW97uImBGxOFZA5NRBCqUHcM
Gy0+W3TJcTsnn5nCrv1SYxjqdaYiFZmbALIUN/0V82PjjQu3Gtc6OSWaMFNvcRxAAifZ7ta0FqVX
mdefyrH91npFecAaSq+gPmF0CtNfS4ILsJ6snzP4pOMgVnCoCyt0Wm+3fbccmqjJL21mU6U42x7t
mnF00rRMewybg8jovE88MoY2tSOu57VB+e5h9Yjm2r6ANHe3lKjQ5KtR/+k65rGu9iVn6VbDumtY
LTdvqmcCGzqfNngJ2TN62tBt7BYya33XNUHs1nxD455pYZfQD6pB2Z7hLFGaQwOtG9IIIoYTslzi
aSyLIpOUuEadUkBsnAUCDe37BA1jG3n2zmwz/ywIGN9RRPWkU5WGvc+8ySdb24ueGVxqNuHBaIyd
+82cC2NHfKa42OTXtTn9ziobU6bt6/uwdX41ojR2qaBk0EiORVJEZEASedvoqKT2pzM30Jsx7w82
y9JbpxvJjxrdxWzhqORuRAntUF9Gt70eGyBjFoo6e6zym4beR7zH6PWogSNvSC05kOp53Lrj3DAp
QSe16osBvb959hYuFaHlz7U+1JKKRrycRrK1Ax0EcYm7/eisNwOfHPU0PfYY/uu6G9vN6mOsCkGQ
b8tkOFEXc4xMaOR+Y7LCpYORgERL6kG2P7VZv/HspOCLTdmVrJrHzUcGZWmRdxtFtVsQyt1BgWLS
GXZiJ4bmQtVCj4F6vdNcHFAWqzDUDDWFDZ4UCHd2cdOCqz6MC3ab1vRQSqY9S1BLhOds/IJvtqOp
3Ku0dDuHOsqXmQqSeARnPjTW3rQJuy9I3nb1SM5EFONDRKngY+GbV1nL59YYaQhc1g/qeaBXfvya
8PEByXTA667tNsVfOs3+s7OmP40hPjIvHLj1wnv83KhjCvP4t2MaDYHcESyI8XoG87omGS1hxIki
USgAhNpVB9Wm8QSej86dgqHFikfn0imUfN7UlDiW1ehhScjHnwc9CbhtuHdhG5G76pldyPcs7kmy
F57H+nuSKPQwaxey9/x2Ua5XYcVtMtMrWKDqf47Vn6N29aIsTvQecAOh3/hz04wL0sXPx97CPDRx
01ctjWG48PbOq6M/0FbT7G0HjJ5mQomSP/t8gt5gwujNWgQdKZmPvxY5A1RU9YerDRg6+tKH8TI2
CfbAv7CbCrM5cfnnRbZgHQd0Q1r1scksrD3ykZ9Ru+fCdlI/U4eARFT7LrIfbUxnjKBwxqIsq04J
EVaJdV2LQ4Wz8ziGpFmbInpxVweRIS+Gb7aCAyzag1E+dTZ6YRz2IJh8Sh5Uld3/CMeelvr9f/+v
l7eCoZAerjZ57f+tGcewDUqB//MWnkfZVfMf25es6v8NcoljTP7iv6Rj7h82zTiy/8FyAFTIWuk/
u3gMKR1jNkwNtW/TuvJ7F4/zBzWruvB8QdUj6RzKvX/r4hGO6Xr4crDRGPzW37p2/usuHk/WSH5W
6zrUx1JOrlNU7rKigzMrK4h/q2b39a7sQ+7PVzS6gv2LQ2gAAjHVYOLCnEnuEqAi+9J134QjUeFL
COim+7YW2h3hfY/SPH0J0qnd2KPr7c1R2mCOC+NajlBCRNNdNGxZoTNIw2gJWzFAuQQdSTnjVrNz
At9xBA07FYfZd5bNQCSUJPJD5w7fLCZ2kb6iKBxK1qfloWnEnQH3jCLN1TlZrRGE4CMCqgm+64gV
gNk/p+t6w4DyKuqSWIs9MKnmblQuZxHOdFqUFydD81rE3nVGv2mgm9kDec2fVkpKZD2WNTWfDQp0
ChrXjdkk3q4eYvL6TgUvMt8x9XEuxihb1pOtKCYyU1r5K87zg27PtEbsy5oGvG64G2bq9ExAjuMs
CANXv6aYJyc5Ssjetp+Hicn4kH1BY0WFrsV7dtAEZFN3j5Ki2mQD/f5+ZL6uhr2jMb3ZZI35gLv5
LFznkSUNc2Np4k6hWopW+9E741PdlC/9dhxpMyLheDKo5wnovYaoUK07DX0scf9+q09bAEwJISZM
yC7y3yFyrzXPQ3Y1I5Ecr0eKZFAxFddOwdvN+BQ6DY6UUY536KswL5twG4gmHzP95Kb1Q1/OR7Ga
OEyG7LKmzow5NQRkYSYvzRJjdVoSsKYie0PfQtflrRMNj/YQ7V0Zkc6GmkIXgIjbydS3JvEtcvcM
gqmm3YSZlJQ788+2wEIS43Vu8jyBzPaQJw+1+0pdHGHtfALJ7TNJqeaHZS6P6TJmO/+nyJIr2jWx
Ng/hkzPDD+Rco1SvDlOCJJz2HqZ/jXcy7MzA95qSCFy8bZzHz4OFRy1u++uM+qCr2hufKmET9cqH
o7E62X70UMU6XbfvOJnEM6mHWlLja5HPZHOtDkAHNWtu1aSwVqXk476Ly/xIjdyNRehtg3PZDeKx
/IaI4xv8k2VT6l9sL/taZ3VO4sweN/RdfEER/rqM17pfXpsAYgTriA12dumn8obNMu/rvnqsJvcB
r+upinEpLfV0bqHDdG4xBFB78MR0N2aJCDpKCKM6D6S056Cpjs4KZcNhKUJobKUqlXLgeTICC/zb
9eemc+EaVCVvsRAktrssYz2fT8s3X3RwFY0dPMj3IWPykDF13Kx4QRCvFc91zSkyR5cQexQYq/29
sUie9rFE73hxCVUUbdto3ef9aJNU0/AW69YbmnpsnMu49dsYzE9f7lu91M+sOtbz5IXrx97nMQ2m
D8udXJJU1GaQfBm1xyK1OsvBmKI58e3PH6YkI5q8IDRCCvCvfW2Fkl4MkG8+fvbbyxUsoe1aWrBM
ezjP5LOPfDE/HmUtHxN50nTZWiZRNnNGXMrd2fPIA/WwrLp4PIsheaUoZmb40FGldRieTKqnjwXr
TZAj9NumFY06fgWru5aZ34hYz8feZNV3rMoMTCr/OqSeAXnsJpkTb//5/EQ+Qz1t4V6yXR1inQr7
pyiCyCwOxepRP4VY4E+soy7D1uopalNGiGAigooSIPj5m+pZieJCJtVSMrgZZ3Xs45V69XrqwJik
D5E/tnvR8u12xuqxAwi5z6C/Pk207C8LWYEsfaEo0svNjuFGWN+n6jlcB2PjN4k4NJXX3BldKCPf
9JkX43gYmp5a3LF6IrvXXg9mbB6B1N8oftfQE+dt6zI5waArgdubcbS+zPH4kAATMlfq72uNRFoB
OpeGtJu1CO3LvIxPBZnmXTlS+BB6q7aluhGMsodlzYyq546ef8Lb+gWv2kB9W40RPCHfE/eUCn6b
DYxRwPGZiq/fyBBvBkf7vkpayiqhH/Oc9jcVAaiM/DWZn+6l6QzvqJUWRIGl+mnPFOf3pIyPMSun
Z5iBATbg7NiTqKHoRhQnTUTfm2V4L+Ohe3Ax5NxBoKKkGtSR1g9Pazkk57Uq74ZwxkQz9zJ4KuEm
8UORUg+rdS4riNhNqbPSv419vB6yqBHnzOeG2xmoNt6GeoYhEN+3fLv2U+HDT10aCShdCGmVSMjC
CCgScXQu45qYbFREJ5tF+sE1Q2BTXGepZNPFbdeUR/VYjEFqjf5pnoQOe1Zy9tWGaObtOMKKZzZB
hWSie/CWKZhYSewP1qYe4YXaXcdV6HmjccpTJC8+ljaFvVqHxN06MznkViIJ1SaUANDUl5DSz8dL
rZuHelgOVCCaQJ5l84TaIH8WwIiUSsMliIhaIabLXytPyjShnBOtXAx82ic+H3pr/UUDgrFTdDxl
zPiwUSwILxPmCkcjJ1uRaIjo1E/tmjRtYlpzUBDTWsE/d+QmluSUS0WA2jg0auOEkY8ViU1YzlfX
xS6gEGwOswLTHimPl56UVW6UOeTzIfRsyuIibwwKIUGzszZ054/dWBpU1GNtAouVZvWrrVYrrkYE
CQkH30gWK3lY5nqQL95ynFaKQ+TSplpgN/kpLm91XtdCDo6k6Bg768I9NK6/V2eZ9fGWTxhRnaQt
fp7lT/mH2lM/yJfs3VkgFSr0WSUxTGqjvgifD9Xe2gy4XGtoXOq8Kyag2iR/SRzrwmP2QuQ02hNj
flbn3jYk31btGswbqEfXum8hvUk7Wt/qk5787EhdsGIO7W0WldVGfaKfSqBealYGkq1cuXyMn6aW
KO2MgzMTjpHL1M+NMrZ8PlR76tjqfm+qtKdHcULQpj5T9XVTe6DNJVRVgEP+y9zy+X37PKa+eR41
uToX1mHEtcY7ysVtVlbE99USUm7o+eW8KFajOkjZTs341LwrQOPHufu4RtWKWe0mZc/QltFF9teJ
85TA5Z/OoQVQPJ1gh6pzM6pr9uPK/dh30vrVk7lNdbI+T5E6Y3875pU+pm+UTcHn1ap4jvDvOWHq
alY/MbU43DWx/sVQJg15BVNKziegHncUzeebZPRIdDELoaMFsp+6ZNSlFEtgodr7PGZAufc60z4o
cU8XEhoGOOV43XzoDLw9tsQdqp99PEEeq6K+ANg/QGLXGQ91iTX0/tr72zGtbWhSZ+6+sYUAHpKw
cth7OYWuc7y2V35CBbbH4PNJo6SugzSz3/5Qp1B5eNQZVA8/FFHqcZ2ULg3l2sclqC7JqotjfUdf
GyMl0KjdgOXx2BqC4fRjnL3xpyb9uCRxLFikhFLiuhJH6FKRvSEnEO/UxekWE1M+9Uu1ZdxTK9Tu
1YkucTLTkVnMf9IKQ8VGa2UQJBuoL6K4D+2P8xe087fHnXA18vo6E88SfOHm4wxLLF0tB25dHSzG
XjtkPZmKv4ZnRa9UD9We2qhxWx2TVMCwbPzj53CZhyvAXzVyfuzy+t9LP8IlmFEG+gFjk0ONu2RV
cRTqLczWLN+YAsaZUbvuFNdtNpgfHT8Rb59AOfXMCErVEpiu9nOsMQ/8DDEUHCL5lkaJ1lZ7n5t/
OvZB5Pt8TgRtkAv6H15iZq2yK9b4l3qZXJH8YDteOY6VHH77tX/63b8dy2LS7yuEpk0i/yP1Uz33
XrwJIK56VNGK6HZVvTXa/s2Y5O2oNLh8bKpgPjbKz/J5bErlxWbq2l4npHmYpxyy3lBQiSrPhfq1
aEnYVb+iflkd/NvLqIe//Y6/EAhOrQs2hHIXt9ZXIzbhKEnE8sfLfTx3VG4kwadB102Gqoyfq41y
wnz8dCSDqxd8UTS7ZpjoZB3GB7WxjxtK6t16Idxd0Yk0GhiKXNlwmcSCaQEuqVVeo4bczEo1VSuE
bC8NVOtjJecGnxHBSOmqIsRVrW47O8g8sJnjPtyLerooj09Ym8WmLZKwvCzSg8UgU55J7v65UQ+F
GnnVwVT6tGZp1iKRSrBVbdSwrXbr3uJGLJb+3paGrglVV0HB607FNXUZ8VThP/XQVneEtHwWHsXO
Cwu8rS05uKO0go3MVtV7UYc+45xRik9sRCzWK8WYinOqkCZclmwnpIuMxCmCKTm3IL+Hqoz4c3um
sT8LBmkyi5XULDZAcy/yJqr2Omk/G/giygHUAULrTCtlEg3k2E5u1J7hkJ1KuuHYy6F3lk9Vey0O
SCzA6xHedXtO5NAORpavoCFHbPV4snOCSiZG8t7Rq6MyMHmOqFEeOTajZPitH1fce8q+tMrh5mNP
d6KzLP1V8jgVv0Wx+mccuuGN0Toy0OghxXMmLW3cZ9UbVxtXWupK6aur5aSiUBI7XU7RKtbyetBI
y52QvrtURoEnFHixRNQCb0SR6sircdGiu8apaKdQQ6mEUsKdZjT25W7Ym2Rj7PDSSPPe6kCN1Yln
LVhj2VXqKgQpC/UyKW2izMEneS9Xex/mqs+DOgXO26HFA6giw5+bQmD2WhEHfh5Soede+gV7aRqs
6Xzb0850r15tlCkAtfe5ieSXtEdgOEiToXqhXOkN1S58AT54m74oS3oQe5vF2FU4YkeMEXg4cg6u
NnQv4d5DpmhJqyIpB06w+oFWYV0U6Bc/kgfy2yaUnFE9dpSyMZb2Rq22Xkx0jqUSO6ovn9okxAh1
ErrRL4J9DdXLUgvpUH26lk1yaqQ40o+m+azrNiLJz8dF1ExH5CK4Kf7VB/7RF240MVkidTShSGAn
HPCCUm0Z+st4jkI26uH/dSzFG+FjxCymyygNmY10ZQ7SmtmZNM7qBIpoGQL4Eu5XadjsXe1xlM7N
RNo3Y+nhFNLI6Uk3Zy0tnYv0dbbS3GkUD4s0edooPXPUnrV0fKbIPldp/eyk/7NHBGpKI+iEGrSV
jtABCP0lJ2+OPJTpdno9LLqlHCoGglE6zuLdJJ2jCcWJubDufKK5X4T0kmbSUNqNSOSls3TySK2P
aEwn6TOdpdkUpindgGQnaA3ur2r0p6NFBpMGPFkj5GBs0Wf6T7XrwWP5sXRpgzAkjgJtsvQN7ZfW
ye7ymxLM6I60RXmwF2Y6buMOp34Yjn6UYBxvHOcm8tZLmuBOi/TlKxUMJNOl17WUhlfJXttTMWmc
KDa8JbLVXLXSCKv2BiSxnVWMe6fp6osVq0luYQWZNsfbSPplV2mabQbQuaXT4L2W5XJaGNoBnI/k
Js8LAp/SV0vFEi3pFOtKky2OHtL7yG3X0btlOJuerCER+8XELgTOAdietOJS5VvcZlKUa7YyDBJ1
WyelE6hFp7tYeHVNadgd6wHXrk31RS39u7i/ry1p5PUa3LwxsRl8dDmhwnsHeW/uW/1BIEMzpNe3
QPALZvKK9i6qplD/DtIBbA9sQukFthAE24iCKwyI0hsspEG4QSXsSKdwKO3CNprhWfqGmxTz8Cwd
xDROi106DD8qmZQbSqgKLZH1BXWxi8K4QmVcK6extBsv/nGdwbhb7nBdApLa+Bao4tbSiQTn6UMj
LcmW9CWHnUVnFFUS9yRMN620Kq/Sr1xI07LgThFksCnGHpRt7tOtJb3MszQ0O5DUbels9qS9udIX
a58V1XrBhwcqkan/3pK+51qanwsU0HSdvY35sR97SsRkQFpL3ymSjzcD075Alx5pSjQ2nVdU15Z0
TA8N/zHJYW1DdU58Ax9lYS6LldokE7/tpamajvr3XrqrM4t2pIwF5kZwqx0yUCGtdF3PPU1OZNip
I+8h75cGCFGs2laVY71JjJ0FaJbqJRPYKiLtEKE2EoWMZknU1dK1nSHdrgFKBBUdYtv/yd79vwD4
TEv3SWT959m7m/fpP44vRU3hfPv+e97vz9/8M33n6X+4hkH+zpYovr9Sd575h+MIMnAk4lhcKQLS
vwB8zh+W7hqcYY9MoMQj/Z66c4HmEXyGO+bAiLP+f1J3zr8joRxbeMBPLECDQtdhq7lkFn9P3Nma
OxPl81bGyo62fffaKuKdoOrvubnkNPkEq7lvvHNo7mTB91P/Yr9GT/0XyCWUqyz+IVz280qhyde+
vhqoFHHJ8hwoinLaZKMf/XRbaNR7beJnyiYa4mfhQ34otua+fEGJB5cdnHdB28+z8dZc+Vvv5DPC
/TdwJuNvycmP9+gjamPl4/GPBMD8lpxsQ3MxzEKsR/DoXwbDeIgHYCLcqNIJymY7/NI0aK11lnx3
EuPhty/EP5ChbF9+gr+lRtX/Dk5QeI4NVs+x/va/w88mhBxZ61E8+9OV/qt6aG/tONB/9PviF0lR
yXX/5T3aD1W4pQiGaq1Ham+u/UeaoOiOrHf2vdFeGxfcCi/FzXrK7rNh291A25vuhzrodsnN8kKP
B91DzqMHaSTdVsf5tfoSX6w7/VCL9wjuOLfH9Uv2jpbWvbO/0whKkTyRLX7nmuDF6m3wYGyGH81z
8Tx2gUbZFA4WbwcS2IIxUAe4StYmiGj2uxSXaa+/MdRaR/RxotnCxeeuK7btY3NjZIFx1R3E2doW
PyryhZv4NX3i7eznr+Wv9QApmPKja6iG9Lubm/ElEsfpMtymOyov0/flWGyH7QrhMdxk9eb/sHcm
y41r2RX9IlSgb6YACPadSEqiJggpU0Lf9/h6L+Qrl8tlOxyee8IQlalMkQTuveecvdf+kfcValIL
LbyAot5uvhjkdoYtuNlXwxFCdYUtGmtEIPKqfgCGIUxK5hSOSO2+hLg8fETT8XW6zIYTHAPdqc17
cU2+A+AJTDmOxV1bzy8m4yTkgXfE80WMGtcODtN7/ql7Q4Kuz9Z+4soxsJttewnNxAoRfUCEuukN
8CCQ5AQM5OxEZSt57zOu6eMsEdpNEpB4VUVvIqn6Wn8Me/2ruPjntjjJNw4dJichShCYAahPX6K1
cMp2wynY9fMmuOj7vnAwh0IjUpzyM91Vpt2FdnhFU/oTrwJP7ryspni1h682XiUkQDLvpOnt+O80
2MriEt3b8GjuVYwV7BgEs68QIO3nteph2G4cK15Fua09pd/+sZRt/Ti/4/a13OzMIPwjPMpHhSbV
tildhGuzhFTX9mc7XhuHkZMATtS9+cYhJUcDjrH4u74C1RlPMtiis/jEaaO9BFujtvETKJFTyDAl
HOuOVdagtGhxnh4qRl6b+LPb1k52ll8Y+5iP4Es/dc2+FezozX+Y15mO3QkRdN+6nWYrW/2UnVGz
t6tMORgcAlYCLJ5N/jUwMHfiTbVJ3y2X9YS5WOfER+tivWKFKAigKJ1x1ToZd4edfvcnlXdzL8f3
uHCqM9jdc5N6yMTJzc0i20h2wzu5E8YVu3THJNUm0iVdtZ/6JnLTypZWVujM6KicwrOu2o4zRHhs
SgcLrDZspRVjVP0XiXjLC9S9fGVsMUMEyBQ4BpKOc5w2frlBNFg7OFAzp9uGxyR2JJU1kI0blSE4
JgoqyuAe7TgY+9/pI1xhm3wmtZ2ugUBuRuSVtr4m+Vjbxo/2Y3I30yZ8qCLFDd4sJzgbrYsSVbv7
n82PQMZKbcvHvt9Ob7QrVpxBrWvnw+OwhfVU0/C2R9qdDikT5lnpHta1P7bPcBfrtvGcXsQ30UWV
T6/kRTrXw/+yOP8LXI0ep0RxbYL0BMGhLEKU/7Q2y+lsaoPOBK0JWje35rWcGW9m1Px1hPkfAX3/
ZRFe/hsNdqoFK82U/5XxVdfC1Im+VG00abgv/4U1jdspGL+RhNL2yFpHnCu2+H+cBf6bpV+W/+vu
iu1AFsnC0VXDRAe54Nv+aefBi4V21UK/LAnZGyIsH91sHm9KQpXtHBn7h6Q1nFZTzy9f0eGprmR+
FsqQuz6ymd4QdPK3pnvhk+g4mzK3WkpPv9Nym0GReEi68TySLOWAzWg8SZk0JxIjdWWOsgm7Xiq9
GYsQso/m1I4sGVisXatQ9+RUxud8VqqDOkzEZsTGDvwBhXLzKpcAOYhkrKjTKHXSvCBrwpxfMMD4
Hlc5SoBpIwOymczi0WpGdwu0Rj5aab6vYiAnWWIIKF+Dcmu1zWGE2LCeFjevL5ZPC8IRNUcaZDAL
NUD6g1PlgJIwV1QUDhR8mVdU7U7MEmmtiPPW6PLZ05O4pBqq14K+cFEXxaYlwIEYUu4NBCVRzkvg
Y29ZDjC7WsQJkJhJ6GNWETpnvckgvlwS1JbOZfTT1S2u7aFu6LuLt0T31WPUV6hxZx0JMaJMu9CE
XWJOG62qr3oaJWiVMm+MqhCzdq7wS5o/8h1mFmtqDuibS85n3AKrjAhbBOnCrK7VCozBCHNCkJPQ
VmLROLaNcYzVOXcNcVhAL+p5qpVprQvq12CNKlGjKzWlB+hT5276XhZssdUYBuOmGof4ohTCLxi0
wi7X5rsmfwb8vvjIst91ofobrdTZz2b5HPftMRSwqreFrnmQnV67SJuxpbNRYCe3U51DQt9wRquX
nGBdR4Ef3MSyduJEOolmuBEm7SKNvzF5vcyloKzhy72RGfJajmR/nwGlZqtmbF7GML/FfnCXo+Z3
jAjGnrmAZ7VbUFlvy9cqiK8hMrECCLGnZbC+xllyNVHgJUKqxTA/5Fa30kDHQ3mXXVUm/iSLY5wl
MbD4Unsg2zgKAqG5qsUnvbhB4kLAuKSiXC5AAAMOcLBZN+i6htd8IVKa0NpGOIOeMH5PXOqikN7H
Uv7tGxNNr5wUZYvODXp8Ieko0IKO/PNOv4gGsIGJnaE9QSNB/r5IvnCkzkfI/24JrbAbbsx9mTSG
/B6JW5IhplIr5yKaNH5C9AVvTL/hPHqGim4m1NyBmNIaoEFrVhv1oqN9ynBs9wZN8wI6Q1Kh++qg
kfq4CQ07rrddHdHviaD7fGg9wu1atBMOXrn2HYef83ibe41ivH+YzXCwlHBrGqIHY85ZMn0bLJ0N
R7R+jPR9ZtT6XiFxcR1l2XkKNTxugW/IK2Y+bBp1pxx8jFWdHRinGTkzM9yt1qqorUoaq1MuVVtZ
zyfMxd0GXZKKHoMgFdIK6hdcPj5ubTTwY0KPCpyXtCNWVUJCaoEMA8zhmr0cbCYCgaUO+EfiYxIo
wYSYkhiRQcica7FH/nmAJSLvQBxxZpOtNlxXrXnxW+IHCdJr3FiiLlanxcUUisT1qkOyM/TPmFZR
Yf/5VmS+5YQFoVHOUswv/CUttJK/vurlX9wR8X7Wcs0xArqsmA37VVAz3whbyCywWFJ/F3bydxXI
gifL2JwuQGYnWzzPL81AzJDDEQDTjNscMQJldrRGS8GR0X/Kj3kjP+Ny1bj1MT2OR+kTuEuzb0A6
Wa51mRFXNE7ynG7c+9WB4fT4g8B21XNCOCgn82kXVzhT4pNAEfUcfjYH1RuPHaHBp+Ir23Nkhz3B
4OSdz0h/N/ewEjeqG6koHVjnz0bJeJLMbAfDBP76mIYEmWCqi/nQOIkXusISx9PErfUdx1kccAyP
TDRqV9T2gY0/sH5KsNKMA70hfgynq4Fty9a+zIv529xW31H/DGcMPa4KpqTjB/ufitTB1+EgE/M0
4Xkj7oVTj5NAYDpZa+O1uHOQDy6mPb4aa2MtnqM1pgeDTSznoKH8pB9zvM4d82v+iGfbgEq2KmRO
2vbE3sSWR7LGvt2Qf0hCc7+XR+apu7RnAbXwPZ3oktTaWgd5nawC2ZuGDRTvhXCBZQagKZRFfC/c
be0eSYwIlQymFWwqbAm41u2yWkX0ZszlfC7AT79oEqZVN7lWrE37bIUiw/To7RsDCwL7iUNQ9ljh
NnGCchW84VYosQja5snkN1c4hKIurN/lcq1IXj44xeTQfE9p+CG+PMs7M9rycCSbCa01bgXN9MzK
xin3znuccH8RGwHCSQHd4Zg6mRQeDZ0Y63a/muBHEuWziq4F7xany280Lkq9r78KVEhf/DPNuCJ/
aGQZRwK+S1AJBhs9fxn67Wg9hRNLmHUChKw/hXLVb7gsMmHLW2zgggxuxkn9TUOLhhslWVvuahIh
WyAunBnNu3HKSSeClRHt9d/aSrjOr/6Z+ql51rS685f2PtYu/3fwwdH3PT+U2x5gIjl4jvqteNFJ
P2afXeFgeWjfhgdOExTs1onbhoSOYmMOjp47xaP06htWcrqE5pM7QPnKKNZit5ccPDxWS7npVA9M
RKqrnZKHxlF1dmUiM+KVVa58t37D8RAMG2gcME6ofrojYe7ckxyhhNWIK0O07/VCCrGNal09Fr5T
sOVl8k/3/aWQ3ovCyU3bNA+B5gJMYtjAm2hQSJ6gSiLJrVZwKncmFSjs/4JPyuPfqBKXDwiKqP+K
1haDeqY7egJdfi98qRCQXgKJKA0HUm7FQexknSdMrUTqjMdx2x+SBiiQx5W74OBsIj73HVF9u3aX
HOPA5WST/kamH7+L1iE9+PmG2lb3nZzDdr4tvsiao4MPJJazSWAb71xXNINHJKMdnXlb2MisGd1X
vFI38O2bQ7jJR9uAZPDOaA6I0nEpwIbV+IpiODm3az+jce4mit2gqQ3xoNiC6aDhIfkOBzOzSAry
3CVvjKuGEpW+wCr9qDFyDdipnfBKRZ7vkuTerznlWXfTcrq3ghPOuDYdZds40jtOq7X+SNc0c54Z
0ja2j216jDzlkdNXWBmHPXiY+TZkq/GCt626pFfqmWfrxVtcfOoxYRlDIukSK2/8hiQVbLKTyr/b
vxOt/cFruFLpwjgNd/26n3ED8qrTzJ1X1rYo3PEcSM5UO/CS8sITT/4L+ubW6ajqSmdwKcvbl+Ys
PKu9dut48m5eoQl9hNtmj+phxTHh6o8ri9BBVu3+FpM/sZ5Z9LfQpr/kVfbKFtpecnQRh9ErTsGp
/kWaLOhI+ZhEjnUWyMXluPUovzpXO7LCqnflFD2SPVG28i5QdjAHfeiokz2JmzQ5lO22FC/6VT0a
t+I1Q96qIFJx88D1ueq0DQFDqUfW4L7eSu9Mn+czJd2JHYZWCDVi9NVaOE1wIq1gHjSGa3QAkJws
c0t/x/ueuep7tSdzrCTn7V1SVqgOk7N5wjdYE6QqrBnAhMJmlDw+J7CHvJYiuYrjoSD2Mob/iajF
8TsvByNhDwWHhQNVpfS7qb44VViVW7QH9RreBVsBm+OZV3lt3YhmYiaHQjLA5LTk7zmMnjq73uLB
gmo0HqINtl7TOlUnGJuiekKlLnFX/vS1q2y57IK3+Vd2+rPMMZTdZR90V4hWlT4ypCsMfVbTBUfL
LrkG0U6RvkLBic1rMByjj4GDV7qf691Comz3JrFtqX5k8QfDECR7f7h3hIAFwo/d49MzVkV8Yf2x
CINPrXuyI7Z7RZDdm2C5VATDMX3SgVDepTMNkJ4x0RlrolddJZyHnOeuwQf7EouBonxavdcd+3Px
EjW29qv1AoZ3b6LIGM7VicjiDRjsmK2M9TGgFAxsYELpYywfgLFn3Um0tcXeUnhsKtjhrWf8gf0r
OcucS6/ju+/fBNA7HEC3CldsTIp37WLZxlb5ASUCGTq+u/KrehQfhX9QX8voJb6YmBy1jbaJn8vB
E2z55wg3C+965GKDxfN5npXNzEbxJm1KT113+OVtSHTVRly3W8rT7ogWNqzXIL+6b1Nz2xx4sBtU
thjb3dO8ifPJv+UbY+U/u++2tEtOAfceoAJBuuASkaycxFX2METHvxRX1QleysOi0PxEVFP9KF73
UdLf+Jl22aesXDPQzRR1YPCPeJnxC3MIv7HnRVfLmS69uNaiLarG1fShEuX1YFVXMpZJJ6A3dkr2
9Q0hBrsIyPVXnTYl7rwzDaVPxRO/eQI7awi2UOjAD6jjGqt+DFAZ48cdAkC+115KmiVQiNJr9q1g
DuxX2beGEju5ztYeETXkutxTjBNwiP7S61ufbXESPwiRolT46meR4kRE0/IOKdcl7RN7BgZoSNB0
sChsB1I7qkF2EvzpKUegKqop1CHBQZOJfdpqkmyrR/Lg0nfyWf1jrfw09a86dOsLrwkrKrpNfxt8
c4bJzzWHhCusOB/YGaeEnQH3rl7hLC+fcccZ11a/SadHOQIfquXSfwyJzXUc3hmt/jZ+DR+LMAub
ylf1TdVoNW6Btf6n0b2RjWagZt7RS9begpE0FXYhBzncbj5ObnbI1hmnS3cAgXJKOGbUeHzUNXGn
4InKfdvb1SnCiwlV0VN/i1uOiOCGmL/u1WO1oeHH8lKtglP6zLcxklun+QJiYtDWvMPRAYw92OwU
Z8TcJ9Pcg4f/7r/NE1elAPH8Ph/DY/7Lugfn9khCqvplbaPX+kCcA/3z6pWooCn/kebLpNl5yqDV
wb6CdDNClfDLMNclYwpIICT0mVzoOFLHiCFubwaQ28ZJ3M+yyvs8Vig9ZqrYUDPE/RCk0n788weS
2B5BZwprsSGVmDDhxiZdhgjH5eHP3/vz1Z8fw2HOQp4k+D2KTtpbYyThT1n+IsE5aKmnSxpAv0F0
fW1E6Bsapo9FBh6FrDPQ7FTXRDGFF4/3q1SCcQ2QQ3JjEnvt0HQMLT4HIYBVwIKoeUspcolvvEZW
uMc+xu9mkR4qqJnoQfrTNjMw/UUNp7ptUkI/7pOM/hEWfaLKPfTNnKgEg9nqJCL7Nms7qUWaUVD+
4QpjqcKH+pQSneFu1ww3KWOQmeWpV8l02AkxwoTPYIuBcDxSCdc3ABQwinzzUw5VNi6hBPGtuAbs
FYJFGWTKQFJWQ4pPY5T9DEP4GL4CNNcqVXWE2JAY94OL7BW/9ioNnWeVsxUWVdG+4Lf2TRC2FjGD
dj0GFGujSrnWDHu1Y18nCIFGijnswzi9Cj4uxl6U/GPYKE/QMv2CrdzFXUJM50QnUxXilxJ4jlka
5B4v9vRq3ysiDvS05fzICXko/Gsa+R9ghdAXgersQR7Zesz618ygcRNvWGRG5Eluk2BPfX1pS5E4
aBXKyoTbBmF2RiUCD5veoroNBusRZgbQS6bNYW/uIAUc/HJ815NcJi8TZ2/W6hc//ky7GumwJX2j
SaMs6wnM66c4Xos+jEgaIHGnpk/VpFjxk96CIFTCaZ5b4lj98WUOrhlRDe9Z994IBYZ1sX3m3Ux7
eXCj2L9X2o+Eo8lGHvYKx519tUpGemrWT5Ube6lhWi8IPp2TnN8hm4iIHdXVIJsCpe/8JrRmv2kX
H0Ilhj+zr9FGohoyiVkKhx7IP728qpsflaGamy4WGqcSTHrf+sCEIRjepuU/k2WqUwQTsuVndKBT
DYCptdKZ76uSRTp0DF4Ru/ZGLBdkmGKt54ShdgLekzk5Poq3oRLeejjzC5Cvt5i5133x1rYUY39+
Nou1H9HcJlLJYk3+LXT+TWSMlPxIolNdrDCPi/dWVN/zMdlA0AHutcQUihW7zjRbr6zKod2ZAb+B
8Uvym7dCG3ZhRkGMX2Shf7aPvAKok6v4lozB+gKmK0X+l6pzNI76bo9Pm4FZxgRBBZqnPq1Ueq87
Oo4LL6ABf+okw3QAPeEFJSWDHDJCiReTYIQDUKrxTLyEGkOlYqKiQ/m9LqSIYqYRsRIaV/SPr0JM
oGMPb2hliM+kHL5iiO6cin0Cy+kHZe1Wi1p8DwiXF3U+NPkHKe/4jxWWlFSkWg6btCApal61cFIQ
fmB2N6NKt6080lGqsgEYAMtHFVqvsu6pS+O2Fx1JEK9wJaGIWa0jRHc/jD814g3pPhnI/tp2K6dK
slaakn0RjDQRC/QthAAPAfq9ByIo4AWasVImKEg15C5RYd4WdOXZtPJrNGAvrOA19dj4QaFKdii1
LwihcC2LwyNTIVpEMg75BFe2DaWeLN0WxXnBOFk0UCdNtGCJ7Cil4qrw1nJ1yvmmVjnSarXa2H3S
vcUFKiI/ZRbDGp4drOpVMSnRpDx+Gq3F+Cr2pxPcBicOTFDB8WHWG9eXQSAitFkXBbX02CPz04B+
uXEyyeeSOaAgFgR4WRGgaZJ7EmsGnJuMt9jEZSSl1meVUrkWYQZgkx2p57NCgFTjwGuRvCXVqaTN
0Lb+d6irUFi7N/wgWOQncNl6Cs+CLGdm6eq4a7CENfJHOHKQLdunqO8DqTwx19iUBhQds22+rZHB
fda4IpoYoBPHYlLozWTB0XkhjGObVdVNtMzTWNbrftCZtLXisCWE4HeZ7qxJ/AyCjO007wSCQAAL
Cw3BXMRVPgm+aRKmv7UWHtMCxxSzBA48lDjT81OfrMnRiAyPFoo/SfWczgT50HZ0RWphqVXB0EYm
8RNJHF1FQAlaqmUbpWLsOxYoqArrFtRx5qUECNhdQs5BM29bHalcXIv7osYyGovpy9i3z76MK3xy
M8cTOaBY5kyU5f21EITPse+AZCjnoM/JTdXOA6A9Po1uiWyhlMRVYwoIp4BogdfQeKpncr3xE3Ed
GtTEeRCAooWxCmspexTjwLdK2mr10O9Raz1EuAxN0aMY16R1NaSEhAwD3d9eXjesZrZuJksgqXKS
Zvk1heWwRgGHTxmkrJbPn7MW7cEACNtYlK6ZyRk0bcvHMKYU0Xp7GxU6uP5gXDuuU2dSWeBla62o
TeKaXUrdxKw1UCmrekNbN37pJZWCMKjcoEBaRyWNPiW1JCeS8q2SlvvejG4Cr/81onmeFMl7YiQh
O/FCSWYjk3IFDI8FWk+FZiSCKrRlJaOFHCusU7UaeWFJYU+ALwWmT2p8JHTFduHEdHOUO2IQR56f
9/05QdTex9gG9SGAxS0D45wHyVOY6zgTDSDi1ykN9elTTazYgRWWOkWZbGdR2mSFiTKt7VamAIg+
7IC25KCm9Hl0BxQb7hBOsDyx+zUin7/uzwvYEqI0IhbYu8JlUglm00o1dmsTxEyXFR42wHwdD/LP
UPW0cQmFGO4YYrQVmXRONcWUDk13bOQwYrILN0TNN5PZ3prMpK/Z1lu/Mze4zOlB1Np1IKnALedu
C5L8lPAWOZFvHErdF1xQ/1HM0ApTya3C0mdXjfYG0EZzxCR7Jr4IPzmc1hq4dLhsb4YY0OjrR09T
Bt+JrCbb9gGMV1wbDn4NF3dXwpAGXZmkGh4f9+AVkowYOYB1pdMTMJeetSanL8AG92E538gGUznp
qsiWpZLbOFOHO5Bd0pZN6XeHHfWoxs2aPn5pk7tSeb3fvhCFUaTGly5HGHxzfRdk009cBCA9MZLZ
Pu9QoS5QOvprksCJLVJDSN/kIlQjd7VR/TKqip1N55Ig5yBz2xEaa+JJWQLNsM+JeZelhy92waHv
KBRU1BGFD18pjaNbksWdx4AG8pSJKqhilJ30SCBmLwKx6Y5MNKaBvkYA+BO/OQoMqTwaSzJGZ119
vymcdprndZT3517xAGcylw87ZT3XubprskHd/fnqX54CqZy2YUHhWiVfEZOhlaRUGklx4T8//Pme
WU8W5rzgAyJkRuQ3D1XPHcCCJa2yklObL8lPsSuIS9fzX1oBhsVKLNntRUG0/+i5tbCnwxdChQok
CtnFOueOvbBCVEVPM6VyWwTgJAkVRPyBJEu7pYmb/v2hm8qrkCkGzDVB3zXxVOPp0wogu6Gi//WQ
5+hP2qdF9vxO+MdDhLxAnbUKKyv68f9AiRB20XqGJr5kg0lXDJj6RfQHed2D6z2kVaL+FUX2/4iP
/w3xgUAPUcM/hAHuZ/v59zje02cGHOT+PX42/ywOVP76iX9neyh/01DesWpJmqyoBJH9QyAoifrf
dEUmSA31AsmnS6rg3wWCCkQQS0dsJomGJf0BePw720PW/ob9E02FKuLXNomp+D8JBNn5/rOATVoE
GjIKDVnlF0JHvGQf/pOIQWwFoa8I7GS1rpcc9/5W9aiF2gBoZWHoR5J0fFv2y5cswLpizdMhh6YQ
zWhwp4VrmaKb9ueCFrnpUaK+KFr2WTcByFnRgH41Q3/u7+R0JhyLwmupmTes8oclnbIOZxqQfQgc
eVYfCXmZTiLKzQHywOcyfRVUzgJkno6RfNalRWwk7aSYeUlXIi03U8/oGEfnCStlmEPNphrxK+1a
Kc1Jq0cTGC3rcUeFbguVcuGGBLHYzOvBTDxsnHu5o5YmF8qphV8xqShoEWRqptoA/SEviAUZGV3E
LkAc42xs6ygEFB5J5cpM5nUnda8ZZ1TwVQMvLF8LnJgbSw9RntNd7BgqAFBu7SEa5bUYQNDuMs/0
m4/KlLyuVg+dAURslMOtbvB+OMpgMFbFbMjxeBeRIbsvBoFfQIaRwPYvH7OMPoYRm389w3ctH/98
X6p1ZZuK4tE0VOkE65x+YRFZkJcCzoay2hxERrz7RlB0d1qm9LJuCedcK4KLr8zBpaiEdV4M82Ge
lHhVpy2iB60SL8GMtIAxdvHX067wK/ZkOxEjy1PkKVxFGv59o28Y3Rs9JUXWh5BB/LfAz4WzaAWl
1wVRj6TE9M9/HmpzEs6lXNx6ZkPWaGx8AFmIklJ9PmVBwRQ6k9elmvE9sYZ96vMpA9wmh4Ozi26T
/YM+TivAt8eyFO7LnNM4uiPZaYXEPDCTNw41u2YojOVe60fjYA0FHTn+HTdK+/Ay1kZ0iobUgduI
lqQNO46uojyu0yG/kL8oHAnZ7G7NFIWoWtAodYbW3vJaQ6Epnnoo7apUPzit8CB+IPn0b3+eEGLg
ESXXXwBQMUuJ9UefmTSRhegdk126V8SexqjexO/zknQ2iZpOxLHyTi7OdPeV9hV0U/8VD+AIxllV
r73uS7uiIkAp9EVGM53Y7SeuacQ5wnelC1zAY3nqYUWDKiVAScTLtbPyTrvLunKydEgDujhEbl7L
t1Eopt9mldGiKDuKTrppkqCHz2LgFifprU5UGk/mqL+EIBg+JJwW9iAVJmp+jQmpaIReM+gQm/N+
xodPf7vic77OnA6dKDG1D3MOtiWE1a9ebh1fGM8WPNJHYxTzJgxHlK6N0rwnZCakvi6fNZ9+qUj6
xHoUNJ/e/EC+XGKqXpkVi7CJE22WKBj+tED0/vypxZ4mge5wyLY1MeJ005vRSG9TIhSXRlUo2Grw
QyREUHU0Tf87+xQkVMgJbkdnNCvQ7AQANSPKv0DSrXUKGv4QSjLDqLwp76HerZFQqKu0wWJSxXN/
N/262em9/LBk9UiXJviEtktbIYDvVkjidAwTNJ1yNkLL5WbbV6Vi7EYTqW2aWuOtgOR7y2V502lW
CgmWzCvibscF6EY5HtF0+fM3lqP3pu4ZYZMxiRQsm64Jto+rprbDkUbE7j++xWeZ4GuJ9pGu0zwZ
8/JNLJVsPZuIt/48nSaZIXi4JABkwZ6CJn3TpOTsw5u4ghFOHlOBICYZPvTKnI/4fsCB5ekpypvg
/OfZQkN35RAPUMI9gfHUvLMCRU6YTWhlo0R8y0TiWWpNu0/j0F1qzXrFUIPaiUBezrLplbyvdT40
RObok0bAV5odVSoRCO/MNpUu9mjFMhkgDTPa+/JdlZUBbYdpeIXha8hvdOrl1K++Qwu7RbyA0wzZ
1QWU5nOa5Me8auoznx9HyL6nazExSxWt4jVQheYmLKjrju3S5UhfegZ8mU2pUygSgPYbgeLZhFb5
a/TIdtumBoonGkIa+dgL8GB56hJCj8Kig+ZfN6rxnnJVpaGUvKnkuO+NWevpKWfm+2DNjSNyedkg
dqGp6UHx3q3Y8ut3zGX+Hrd95Uhl+9ML3E/ktp7LIetfdUHBJBtJGYx3Yrcsi4A/FezqNZc0xmyN
Ujh+axiMJSr1Uk9NTm+TW7jKTZL/rIzIm65GT62G5atR8KFk0IX2Y5SfAOBZ52EmESkMDDQVALIe
hgaGOkynd9m3ao/MuOiWiUV3NZEuRwv9vRpU1mpfLzdaUaQHOW4PSWX2FzUpBW7zuHurNaKiowKL
OLlHj7GpB0aFebOF5Bs95LpKOEjziv78Kb0OmPicCLJ5GwQiqlPdqOeLpndXiuFu/9f3lqd5T9hr
mYmvfjm3R3N5+PPVkPP7DL0Wrtox6fejIffAhvgqSdGsJriv3CxkaqsE7L5jzvIk1hQmZhRRtSLo
o02D/C2zMmbN0rAxkuZHAmS2JrmnZFqqkEEFLEtW9XQX5T7JdyYTrJk3gevH3ChBZtGiSxXGnU9F
l4ZtEgWbMBU70oEibxJiNvYBhYhcG/6hREYlQV49ybsyqS+Z0GZXgVWW9v8yRdK/pZkDkcqmsM4W
EH8iNzSeF2iTHok3YhPo1Ma+tJkVH+aySchxkZRbRamegZWtpaCXV2OfDBttqL9YhGdmQ4J1JhaO
XkbRvVXAdo69On6qFQShruyYFrA/4MIH0zvdoj6tKUNh2mMx4r+t6V+qartTjF9Ao+9zXLGiJs4g
hJLd1ONVQhzIF9UP/iOn62rRrXSxpYUpXYQWqLIi97+Vcdqm9dgg3pAirxUYHBQqJj0MoxjgVAhv
NAHEuNPYSFPZM/Sx8oaohO4a0lC1yl9Bw6iQu/VVaBceJRBsbQlCIlbHikCtV/IvKROOrSGeBNEf
nU59mmW4HiTz2hXMmeN0+DY6hkhVhaAuivRH0DWvydIj0X0QJF2CN3X6TkpEjxrzsq4d3zS//AXC
p3do1NH2/zKUQXJFUNIt/e8hDK/BDCJZ88RBRIrd+x+FJTDR+Q1Whou57RyrLmHKdT4QzVpatzLA
72ERY6caot0o+CUn9MXFTLuWdE+q9FcU1++zqrlz2q/ziXnDEGUHX2J0OZRoLDTprWjFm29Akess
C1AJ95P4s8zZhunVJxSyXFSHgbbxZWEX9O3Zn4VdDWuMq2k1c/6b+8vYmI5JkAIXq/DSK8LnwoET
A3Hb4BYhhHgzGcUmYSVGwjjeTTJunEIoafZgcKf5svBtZkQmoLj69AVbJNLOGV0FKWnogyvCC8uR
2l3/pQ9/QkC4Jet4W8las+hbnZFmiY3J6QCpkjYVo2hgcK3FXq/sorI6V5DUbWKMDpyfEtJdbSNE
BzFKeAbywXJTdUBN1zuYFVEziFB0Q8s4E3jKKFnBpJn7e7niq+XYHYksMFnwrnV+fkqt/mlkjA9n
vLWtWK4bYcLGoZXuv/F1HsutK0sW/SJEwJspCTpJpLydIGThfVXBfH0v8PS7en3iRk8UEj0pEJWV
uffaohsWBYO1L835amhatFgtX0Qk2vB1HG9dBdONMQ06Lz8n2tiPMADx7+kSeT+RtFLqGfYGBnFr
RIgMW9FLcKgvgwE3CedYf9Jr65Tr3iIltNJN62Svc4tQoS94370fM/TPYHaYI4WceupL6xX3Ig4A
w3llEnayZASgHsDcakog2/MdsbT2UzUpE2GJ+Mx99MrgjWD0j8z/YgW4iTqkD1aTOgyS0V35P345
MXIwr0zRo12vym6dpGCXezK2psINU216V5b/NBn2t3KH7ylF7N189z0mgbKG4FslB6fnX+4UyWfi
pLdiQEdQO827AcXryksmli+6RzprkUqbNyh9AUJyf+c7I3j85EjB/GIM6jmWDphFl6iX4LYwp5t6
yUybyvFV9+WxhoZiA4WkNEIR15GHRLPlfADCLI9WBTNyRXYtMiH3ustdxjvTZul5aTBLiByr/f4m
qugVDV3FQTJjorfomw/acEPO703W2G+Ont7ErL+uhiqnHud6q3p5RfDVvlVWsoGwuNYzoL3lDelf
hAwj7JzjCvoP4tjYlZyykm3XodTUZBKH7ZCEjf9Gr5LZ4zx/S39AX4wfuHdPWpltkixCY6hSVBuz
m++tIcU6YgrUierGx+hTE/gQBfJQa162tckLXBdA/qoxPUqo2xshDGPnpnFo2K2+n1oHF0n9XhO8
eLC9xVija86J/f4W/XxHvYFxhgiqmSWJzyCYx4SuHqTAoE9uvC56SOvuJ596SGIKqbDF3BaI6Gd8
l9370rp3meU85LX1jHmAflrfaKFGjrly+nJLldUfnIBDChH2uJ/N6tpuBSgNu7gaSAhaRSkBNnjF
kP21bOX2gTYc+zbT75BUp/gBaE0RLlFYUC0lupeI+XI8cTaJ1TiFbZAidEqCreH65HCrDEzu6Cec
u92nRKT1hjyway+fsq2iOY+wzrvM+a8RBLI1ekEn0ML5wjT1GleeGbaOfz0Mfg/or9y6WQAT0e7I
iAQ8GJIcCeFMG9/czpMH9okHJ4EHRPh0ue+c/DXNavOiK9nFV73+ZQjyX+BP+uEQAP5rLHzRZjlt
C0O0Lz08G9EB1GLjT7uSKBNCuVGmkMQQ15z73nAR2xgK7HkvfPbNRJAwB8WlAC+bDO0p2rKt9ddt
59+5CLlXiI2fdALTWUALZHagnGLhE95U3cJXd9e42Y+91BRmssjHyns5sLz6ZSAu/M5eAi8m7bEH
4qCpAMFOkL44BZTTzhmOQ6X/AKIsWMrSat/kYLaN1mZjHRPvIyF3dO4y6y7giXIu+c/f5wutwH3O
zdnbnC8fgNdD+VmAx3/d7vxnhmSb3RiSxeXxOkYQgMFRyv3fhzxfqUdUhPaoEyTAQ54vogEfwsZc
qJ0stJEVV5eAcfpVVsI6s4ddbzmHoatP2UQjqRq+CX6sV2LSX2h4HNNDryHsNzVxqHtxbdOZ92n7
MKwiIUS6L06qPvJm/vay6bu1IGfJifCLwDpYw/A954C5asLNWcQu4Z23gRjXoqRWcEx0OLNtfpMM
wZ4SeU1jMCBL67X6wiiDKYWEAiRvWC0bF8YIWpxaWvqayWCyJnTU4MwpUG4uP9QEEeb821xE/koN
7aIYB34lBx1aFleefwCoLrfz4Dwy+tY2Cp5pmdDx1QUmj8Fu2a56RF/JcT2aSPkyIuwZ9AHgNIhe
u2hNALDIVcGjnP9u2ONfNJIEgeK2dgziBrKypWGFxSeimzQFSYKPpyDI0qE6m83yGR8Dqj7Pqi6g
qKO8TbK32WeSrqzYvNSVZfz5Yf7zm0v/j1Iq5ktMlNolcv6cxjyqTzO7L8oWkaF10jziTV16cPq9
MOMnOCVo3xkHpMYxcLpPZgOPXjrumbg55kjIYjjkOEZJijG16sI25E5l89EyMKC6tnkVE/loO9rK
JNourYkLRn2t8FUgRYPHvmKTsjBsYXnja+vJlihttvoE/qjGUhfkoQrX24hAe2sNpE+DV0G3DL6a
yT+kjGWWEsHBpsCwGYtQcUtkwqWHtkG0t2Msj03VnrSUEEzMpoYOATcaQnp/lPjtxqnRM8nkzZj1
o9UKviNzrOjRRXRTOsbOtn7jV0ggk7sqN0Huy+EUjOhENHygM3ZCohcVk5VlhKA1V7ae7coR1Zhs
Eaj65rUZZdd5TA7UmBEp1VXDkiaI1ClFmtV7HMFVWzzUksZlzfxwme4XD9MyEbbN6NkgVjnSMvYX
MElMMtg7DLmF+Ih8bLhdFqFubgqkjQdLFyQIWc1P3kzroNAu/MnvL00hLxyXjgATI+K6gvrUcOJf
jVQtjl8fzIqxS9Go5tA7yHT9ZgM+8qoto8e6cXXCYfPrrCU7rm6uJ3JBdp39Oi0SxSJZWPYJUrgb
6aDzFn3jMe5PHOpG8qmk2AFlp77siS2py2dmbZvRsJw16Zh0WJP0oUGFWHqQ1PAb0KRCde/3mDC6
eyaKCEQDYa47N0a8bE+PMHI4jyjGVFr7mtB28OdNtAiYyq7/tBmbCAbrmyzNPrOa2HMat3QmpyE0
hyMZW29jJLsLq+fgrGJ8QUOzF26SrMvGjlZ1lHwRCChPqU31aDWrMWcZK/zgOcsdGPNSPmSpYiuD
6tuuhpeW4JtMFN+D2z8b9rTL8vlTBCgcpJbXW8fEt0Ew5qGc75FIkbOiE22L5myNGQroUh6EdgIT
c5ImTibnUk93TBXvSk+/JpcLsfx0q+JGOxjixbb7vSaepYfuNcEZI9uDXth3WTUhvfeM0wDNcA1D
lxgq5fx0mnXUjAjbfnZdtxP0ouhYAPJEhjdZ9FBOfaG+2zl9jbGXGe1zAegpxEeFkQpn4nZwOaM5
jtiqIbkKVBS/yqb+NNz8YPXa1WjL6yh+giNyaymqEN/C1eRHt0YwBiE5SVsYlvdtrz/bTnaJ5fE+
JmytLwbW6PxybvE1wwMp8T3Zon7P2ylf6WlkrGor6Fcil6+JHZDZN9sfUYav1vNRvZdO/ZAk+X05
N0vk9c6c2x8yedd6JG4LnXOOhyi7hytTVx9zOn5EnBQMo/zxA+MoZHMxed7blDVvErkR56mwtytA
1DW9f2VgPBwwrmOmygGgrczXjvjQfTDPD71v3Bcteb02sGLtsdaH28L335oIvXefKkUjPzB4gfOR
iMN9MD3KUvjbeKpJYaVUjZrqR2hip5uQaq3IAkCZvsvYuLYDwq8ZJ66Iu93Ws7cFhVau4IcfWfoI
tIpvCwN7rvO5hK82GB85gl8tA380RdBUnep5IKM7vs3UfOfaFGUznWI8w77TMorPb+waOVOaatej
KC96B9ZCgNPRgPmdWt59S+DHupsOzKPhM0dkLg/G66AHdwlck9gnT3QxoOkxQYRDa3ZQd3m7dYF8
R88z+iETFTShSzEFz1yPt8tHLMvmISiIVnM5I6AY3BJy+amxL1uw2pQ5vIXkNUPhWIDpCcVk4FnL
gkdzNI6Dyx8V6S/d3HH2LKGyO0V546efqnemo50mKDcd7aVIi1eL4F22VkHoz/lTF4NzHR6Hqibg
rkyhKvBFEgWHfvND8fFYEsOyiccizITOHs2/ad0WxOEU0G3XEKJ5usH+A3/DpI/PnsubMrEIr7WZ
zaIrWSbz+Wga7IsArTAe47HIRLI4YljRmXkz7dolUv+ISJMy8uQmHYyPwsM1IYP2JjaQcJv9sJlq
bHqFyQfYZXSwl+12PREkV8fGldvoNATz4MR//6Aq4s39mHaINuoADGzaRguvNvad/cTasXY9Fwq8
8+i07tvIeJfZxmOU0OBQww817pMs7h2pkHViiI0Gtw45tmBlWgPRjG7CupL64L3GJKaOnIDoo59k
0/fjDK6+aQd/m4/TXdzw/IVEnNZImwXVND/AxCJ6HC6yyYmOjkRQXECq7fX2NLdBsRd9iv1Nv8TJ
jWnSZaMdDMWqlJNDy5W6tKf5pPtYWAyGbvOabKgaofVitK3QE6Wm8Tob7+WQPU2MYMhrI+gwWM6Q
bY9DTr27CLRWPgF9bqmMK7+gDi18YoU4VEjLrbEyODidxkWRrUaSvEzTRlYwEwIgSLFoPZhFnr11
Jbj6zkG3rwqJrDGhmiAtAKOESIwd8T03npa4m3RCY2bHuX9B3vx2KDxjRSTXI6ZJ1Mpdt+1E8EzY
zM4axKds0UmP9jzxnYuvvSK47U26pMK6F+343FjBScXMMopWe6Fj6+hIVEa0CPtyUbu4CUaxigUt
TaePNJn2SONyrGTdz+ySxdkp9qzM+dbTiPRLeCwEA8gG+uvBIUo/aNt7fIUgHuHRqyzztV+6KSwb
X6OvIyTx+McliJFmBD2x4d1hSCTuPTFBgthyUwtegEp03B0dXeUZGy6xNfGV5vihDDjEjXqZbqq4
DdvS2uGcdLbCCD4pbx7jmV1uP2uI9hDV+sX0Mybis+zsrUg9atcgNVeR4bKBjLZ6ZdUnQ8gnI2D/
JPvrsdzw7730YvpJUz1cazXh5VIxCO5lsCq6/NGbc5pRIcWStE+e246XSjfp0sa1cZWU+GMyIj2f
9AZjRDvES7o0UpGgfyc8EtG/khdepI7VaKch2ho+uGSkvUZejs9/yRnYpzODQkIXIGcaH/QciUnM
OS/AjajlyXTwgubdNhknEeckypEmFgr0Rt8xV3nOjcxcDQYaviGftmmLMl4lWJvd5lDl+rypjek0
1f13pbUOLG1ra9PnN5onQzCXdlOPZl6afjSXY1+i4sPQoDU7zLnXbol5Mp/8b9n79P+Z61W0qzE+
cwYobUbQw4aXVm7LFuCHUiUauooA8iZOKcoDEN584l2s3is5LXrITWB0CapsqROviKa7927Z0D4Q
hfRu5r5HKLVPzr2P3lC3MPd50y4SxC6rsXvrC/pbRiqzMCGHdIODl8XJuCbyPnSw74Ns5MxnaflR
A8+vRmTUJcdkzjRlY0Ys6ZTsCPdIaKRkcylBC38Pxpwa3RnDUmn91nW/cEKwg8GoZ0gLYaWO9zMD
nRSqPvtqGZnhCs8evCXcy6QTgBlT48xOE5BnNpkIgMTQ03DU+jcnSqBWWBTGOmiiwPNTCDXzU4x8
mXMPiMfBx03tVj4hYPr4KT0uckrzxpcwuPzxImbyEtIY49LxTjiSBOQEmUFC8mRAohy8ABRRvlgb
RhdOJSrjxtTUmpb73dQHUTgZMy61thIbk4TfcEj1RVRAMek8R551a49xATmGLqFv+EuE5WuNYj2Q
TzKTVZjUwbQvVGRcWhiDK48oIVNS2z54jemFuEnwxMxA7YSJQv9Yuqeo4JvM5MnaZ57mIKgFKxNZ
CKHkyCLTuIQeGbnxnbL5WycjC23gbLsafTsCzqEsDvk0XSVDPxC1PJPHYbuHAb0iZ8OOiOzptpYM
e7IhOWoW04a0GA9pDkBNL/BwFMYMeYIyxEWijyVhDc0i2hEeHwJhJQivp0Swu3HrA0plgUG9n7ls
yOdee6k77yJtI9LDm7BvCbKNmxHlIA0Vq/PhpEyZSXqtEgjZwQ+pGnLDJKYPaJbzsdDJ94prlOjl
XQo6ACW5d4xkjuoTSyZDo01dE01dRel9JAcKD3C0tGeXfAvHR46s7dMk32ZMJ1eik3fsY7dS1wNo
UwvZovKKC1XVuzm96M3qxqkYLDTss3FDFneDioPnCBJnuqobR/uiO7eZhbsrYBYYE8uMHfTXkekT
yZ2pdMfzvSeq4awJ3kZ4JeN4eO5bS1UfepaEdY/Nc048zrGaJTYTHRE7zk5OZV6whC5BrgcFpzF0
BHwf8G01GB/qzci1SfjwJM027xP9T7V3Fk3dkGRo2Fij3BoUZG2S9+zQ4RmYR8ae8VFpcX8pG+0a
fd1l4nmP/gRULoqK/FrL1k5XbBve0j5G9HdgW3JJco7N/IB2CNKIQ96aayRHM1Lb8maS85XlpUXI
cAcURX9TdkA5BJJ3Azo1qwNRHR6sPYZL7Jg6b97MeXJv+WRct3Eld2TU6Ld+hIXI0azHNqjvVCIk
2w6MikpZj2nUbmd7YQ0ydISr1BCNEwybmZ7/Vu9LgXd8vim0k60JQJagIKxcOyEqQPmxZBDMir4E
ezjEOylk0Fl7b5Ps0X+hoX9ZaE+DPR0syAbhAPoKqwFLj/5tDWqkKCjIRQGGTS+IiYN816kZ3QaF
EPKGW6XqBrAm/8nZGqlc/dLd2O5ZHDs8K9Nn/FZZ22leXOXOTE5Mc6um2FwlcVCFeSlGTHyuTx/J
PyWBrba9TrVnVsmx7ArvpOXeZZxhCXesnNaafE1RD+2mxh85zCMaFUfI4a90B9mJCETSLo4xU/ro
+f1qbXfJhsmHfSrQUw8EKwHP3ntlaa5LhsvaunVVH4qFN8Jye6kY0q2bXn24ta2tHLutEJa/cG5v
mE8aX0bvt+vMywhmsXR/UwbyWO78SIXIVoHX424ac+rfXKpdQNA31eFmkilbKpryrQVzkZkl4c4m
s9EFQ7rBIiRIA6Ktrmh8Oy7uvTZCSW9VeEyyuLwcG0MR1NNiiWxL6Ef9T2xktLnyH7vufJwV1HjK
tTZum15IJDGsA1svsT+mdLgOwJ6Y2CKjCWq5n6pHUWf3GaFP/MsywjSGx4l3Yyo4SOm7cARUe3Qo
m0Q3w8T1qq1dVcWmnnQOdQVZBynqnbCIJyjR/xiGvInALJKzu2W7X97nNkbyZk6KnULsD0cl/zIT
pjy6Wz9EhD8hm3iVjN8Js+FEFLT9O9ry/eJE8mZvX8SAWb26/mFQ9TSrLadynp+uLW49+eQZ47Gf
/Ai3Fe26QZFaV9UQoNICBb1lcuY0L6HOfkVuRUVL7U99iwvB3SXKcrd1NpDogsE8EC4M+4TApFhu
Ijqu66E2Ia7l/VduDDmbTyrgQvfaW9nal2AoSUsW+bb1tOiiMMx78JKKqQqDQh0uaBI9M5jqtjQr
+N9gnLVrPLF5DxMGVXRo09Eg2758c32MhvWyLPnJyHk/wE6Ft1MW2Y5I7n7By61wsg1h44I6qMv+
m1Fcze4D4VVcMUSiT1dNQQEa2VrCOoDHM+yio2mvXcUBx0NzZsh6G4u867V0OuzgXksKB/FF/4W0
i01UQWqS6U5iN1lWj5oHXTqZkLs6pdg0jKdZ1766eEQQ3NSHTg/yO/+K+HlYNZc9Rtuhzlz6nfG9
a33jq+hv6my+jYmJWddpGI3JeBrnFV8Rdlw9PABrcHKSxmfCytpjNJfqWIu+2/lWg/EasPiqdQlv
bPv62fF1/cXtnbvOcj5qJ3+JSwNQCuHEW85qyrtzaLDuLMJHCKZJQB3MC/6iEs7RLTlB5ra/ps0E
YMGD+hY7/mFsnvN+Hg/nmAPdaT/qXpFu21hrGUmMZpbgxECJWUsaPk2nddAvsNrFDgneSCSnHmdt
i1S+0opTBBD3YKhpuja8DIivwNmVdsRuzfo1jQN62Nm86xYHEidjPZEt7GUAIWk66BtBh35NahMe
zoHcUX5cEf8YfSUlI7YRMmHmBguWqdhFzJdC3dQ2sh0HzOvpbnSiE0R61iyLw8BX2Wma3HuDtPU7
u6gPwUBW8hgb9ymzqD2spJjSFNi44xq7CqyLYrB/YfgBsWJmFOqjgQMqfXBsNW+R12sYwgbjwrT8
96yh7Th12A2n0mF4mMNFMhS7FjFvDFsKvu9EJKPvyi8DPX0y5j4JiZ1670Hx4vvAx+VqZTh1dMii
ROwIowJjUNho1vJCrRx4Ugd0IDqnkjeC4BogPZW2ZfYOhgqmOGYyb2IN02/6tszZdUPUkMW7clrj
2pBqM5Qfke7kT0VU3KaF9eEUhFo1pUYzFqt0F23yNtjKZLgrOBRQ1Iou1M67Xy2MPPdLdOJZayXK
dLfaRl4C37A2nV3Lugy06cuNSwrTwAPDIZrrQZislOpiqJt5o9r4wHmK3VSVPA+ZxtnXQtpXEt08
LjvOr9QX1clO09emZl0uaVenWlWtij6/KDmo95ZvwxGHA2m11NZDPcqw23gW5dMUz28Wm+ERV7Lb
ZPlGr5lipOIlMrsUA4147c0uWke08LAhi++ha4pd3pNZFRDhEwYpTbu2okCWAwF/nrctNY7XeZA9
oltoaHrHizWrYB2nKQjBKmMM4V02nGy8Gi6TagHSUd2HnlIPeowdul3axHadNqGsBRFNgdiK3p3o
OZHX6iSwnjxOTgp40MXkVDqg9eSxMqFkmbWNdta01LqbtWqrg7BH0plgUram906UPyIfG4RS3k3d
6fbODRbnJ3MHCGTNU55SAg5z9SQHPjfbknNYePVJ6S09XnMmwq6BKKngObYhrJ6psLikjXps2Yyo
DkkQj7xRO7k8R2foC6z9/Bv9FMSaS5zG/3+Zye79f3M3zjeclkf4vUtDKbR24SZXl0ZWtevzI55v
07TufwI76OP7JOj884xR3nDV+e90SrjqfIf/+vX38f9c43CyMf3D78v961X8eZF/npH1rp83/31J
DP899FpbFpduZ3F8LO/6/Ox/Xsj52UzCE8r97xM3Wk4Jcb5pm7tLYspyrz8Pfv7191HOv2HbIrtD
cZAeAvUWu7aE8NLXBwDW5kEsoRzGEmd2/i1aEsz+usyfl8SZ39tkiKzoqv1zy/NvccMdfy/ro2I9
RhnhdMvlfx7hfO2fO/8+1+/9/noYR1tkPYTRrA2XPvomBVtL3RBf/76Q1tSYQJwf679+rXuOVSIm
eN7zgwMCBxc6Oo/5nwCXXAdqImE0LeES5x/ZkgeQLD/+uuz3z/NvlfCuvLwKtn9dfr7/+bLzg/z+
OVOFsveB93O+9veK3yf7vex8E6x5pDX922OdL/vrYc5/BgLej9E7CRHpzF7+eRt/3u757/PTVbLJ
5vVfD/PnRv/2sOf75HNwEfSy2bm1Ky56MtVDw9YUuy/+9KKUMdry468/9VHAGfvr6kEnJALAbbB0
XMgi/3On8z3PP/66DENpBFbHdogj/88z/PU0v/f966n+7XZGEPGafh8LfWF70V3M54vPd7Ab0jH+
vLPfB/iv6/96kvOff1+tBWWzx2W3+deP4Pdhf1/Hvz7M+YZ/3eZ8WYKCbDN41rdMpQ0nFXhycs4y
qgbB6MMorU7cxGJIt39OF4P1BEyOxJ9jYjaP57NBTQvvgthEPFgWSeis4HQfyo2Z53i3yD/bupa2
LGIEfBnGu8B1sGP6211OyJAuneU3unWdzRbbhZ1iLOSWsjkRkQUPwS8f9KjD3pYQOz2qh1amtBw1
WpoemSursUf9JwkiayJ13Rv1kRAPlGWSmrkvp5upUV9kMIR5gp7AygR7D+aw9ADbRa47hbpPLgdJ
HtGuNHS4QOOD0QT5NmkRRZRjjbioc0BvROnGLKmS4vxY1i3+21QH1T03yZWLCuoYL3OYGpPnMJWn
0kALwBDbCQO3QhBAKcwUHeB0LqLbppWHEa84HvdZv4U4YO5nUFHQVcdw9J4pTdjaCJJPh55Cx/T7
eJuKpRJjBq5Ktvp8pgCC0L0Y2bVtGu6amY+2iaAIUA4iBcX7og/zo2UXh6ppjqh0m3XaE/Y5kCxX
T8WWAirdOKztVChXScxEKktou7FjrzEwHqZEXtGVYI+R0QbEg92HcWasdIspQCSwsA4tn50jrH3k
J8lDzAxxbsCtaRGgwoaNee9P17kaf3qPD8ZXwSszdcajKiAZACRvCgsiqjL9wmiaccfs7MpUeoLo
KWPf0iXPrfrJIgpIXaciGGfH34FI9rRG7IXJ+FvrfAzALp80PspV0w/2htr4iVpy3PatXq8L0X95
6U0ZM7RHF8h9XVrJO0ubpjtTI8BHDhqVeQFdPcrfehUkG8b35Z50YWAvMiEuc4YobIti66PR2Jg2
bzxG17jP/dsxDbq93/Oi4YIuM6RaI0+Lf3SDi9bDcsw2bOXHvs7YgO+SMNnZJ9qPiMo57MbjcgSZ
mSuORTJ/M8KmTO4ZD7T2m9A8QIWm/GxLE5oDXz/gEsxBxwmpXJLA2bL1zGY/5V0xphjgEAYru+/h
gyDfsuxcA+igo3cWE0MR/Nc4nMRzlOaI+QlARbMGWpZwo9jnuVyUZGElZrWWo5ouOumgo9O2ZdxH
txMYprn1P8iCtUFNxe8TkCPha9p6MKjLDOtIPyG5TCqsXEHyRdgiUKoxoa89zi9BO+moT0AxfXtB
hfgktdKDZeglvAT9dhYROLOpCKNEPUwGfEDobNKn+q41Oq+56latln/mrSG3c0thTOOxwZT6lCwV
tJORutIVlSRHqaIXotVXM1/p9SDAU6WGcR2T9Lkpmb5K/R3yCWXP5KmN7O77vH1ETF+sAzqVbtC8
GkKdmKGVa98SW8Jun2o9gjDWZ3TGSYCgSQM7bzZGoFhxHSGfYtyRecnesfGkqta4czMbWARNUWxr
RcEeqS9bPawy0uV8I97ohtwbFoLLopieCWB9j+K2Y2pcf2Xzy2zmpJmiDtXThNm9+ei3yaPCfQBQ
TBjb4TIwtrqrgncxgsujXQUZghzvmoLcjcwf0iJDobuv2eCc0GU+qyK4sk1uVhrD0dLR34nZzjYK
SYto+iuiXCGLVdMuTxJ3lc5Vsp8+XBhvUfGQV/LNkBVzITHdEL0bDhLPoEsnEZME526YK6gMK0RS
+P/RwoQxxwR8PIk6LntXfEirrkEIg83i0IxYsLBptWvBHjHRqdk9/D49ESjgCUsnukWNIjZDhFt9
GSGTSxRiZudEAM4EDd7LEEN/NWC9IuyjHdH35XODf3vtiCksxjwN43yYQ7fTaciMTMRQ2W96rXhy
M/NWjUtz+lm5TH3bNMdKiSAiNb9qLf8qU/Ozb6Gl03BdS50cHumVOGYk5VoZ5Rj7EdL4xUJymuIX
A5XCWKLrHKb6Xs/aU4tPu6ymK5KCv62ehpU58IITcxv0WO90YXabUQO5P+vNNXMr6McLa8KL2bfG
46E2WBRKoEVuA4E5oz0q3HidGQciya693sM8VNSnMqexZXmHtnXf+7TZ1KN9k/gLZU4v9onhAaSM
BKx2oru3rj8QxIgbx4Vb0LLqbqSVoWsfVB66GrMbxH147p1qDCNL+/RbBnyRGndWajEZGNAoeQDO
x+6BsM6dJ0o4U7a5c+bhmCfVYzXq4GIKrOsJ8pCpLV5TMn5qrX4J9Jo4w3UMX9Jp2js0wA+lUzxN
s4DZ2/UPSTd/1qP7bNboamgNEwq6dePxOMOQzmm4Gj1SVsN1j3WDjKbumaTWDGVcGxZzhEIldQn/
1nCXoFR7ZWr/FsTFg9vIqxGvf6YPCFyLfQ+iJx85JjLRb01JbWCpqwSzfzHhc9M7mloEg9+kGsS7
ju8nXCan2LPrRn1YMOtLB3cL7Xsigtt5m8T4FvfMBL0CSagPB5Lk5Ne+zD8HL3202vFVtfN3xpBW
xRjiVXqQdvnAfJWJnF7fNbhKZaoxHc+BdfB53NszgpR6TtUmNywZlhhe7SB+7/0eZBe2HLqbm8ov
kX4I77u3+zkUrLArKZAwVDbjJx25hWYPYEJ0GK+LR0hUt3lMXJaBMALKcrAb3eDwWvbZ0iAjW3xk
TI9JjdimieCQBOQT1tXLtpDslyME7bZn7hcdddtE1arxSBN3PvUS45E+vEhe1EFvnlOoySt9Kp4C
opA4892nXdSspCSSwI1PBqy/2jF3IoMPW4Mq3/e0kHs+Fk4SSCVSLFergTHhWzIxGJRec0r9Rb0g
+g1MLzccg6u8ru8LaaFmMCtMKnx7Bz/6LgqAtPngrKuxe0YVcgWu+Eb6xdqTw20j4jeHzDDmELSh
sqF49QJQfjNmz3U/09SybHrDM8dGTjbMipPYc9sZAxXNuPGXpGjshbac5gNhClFdnvAGoLbBDIRn
hq+LfHYFbTlSpsdVH9fXRUaDBJcPn+aC3bFKUi7c4rtZjCulKAak1/IxpRG/7xKmKgh6PFwLeAzQ
nVexukS6lazQML5hgwk55Zpbl3Qwr1dHqwuOAjIHLC+09EWK54vRuqWhK8BCXeaoU/0Y6Kc1A2xS
Fh+yx8foeTgISlRWoTQ9At7xsNNnYbJa3qOnbjjmEDOhoV45fZfeCbWBJSIeWOCoJG+DL32U8org
sHUvamfvR+JBWyhsRiDf0PyupgnsoTHIt64PtrHymWqkE9cimSto0kD9WBc1qTTI5vnyUIS1aALb
mPEZsz4EqWW+L2flH0hZfSbwilRCpDmqQQdObTwNfD1rxWKYXtn4sVQ8XI9BxuHSpncGp5+wl3zX
oihnTNhexWn94/Up7XGDcXluESzinxCcfBgjqpQZutNkYBKKoAkz7j3KuL10KRZjmmwqiE+UIFC+
naOZ5k/U2k+kAjVrgPHoo83xk64UwxZfjSc/YKlxpzD35XvcpKzm7q1GrDA8zRbpdsu3A5huR+/W
USXTJhf0NBEL3tot7G0Wpz9qG9ji0qkNAI4OOd/GODw69bAxTGeksNJYWz32wa68wYbKsFfLbyx6
48xcP2iJVTvGbNdtOzPFnBNFctbK6plvG371iILog51yu3byFtmrwcTf46DRfszIfE/r/BC5TAfT
RFw29qlsdHsdJP/D3nnsuM6kW/ZVGjVuFmiCDLKBmkiivFLp3YRId+jJoDdP34tZdQs/7r3oRs97
cn6TJ51EBj+z99qIibOcQnS2QwR3qbv2MOUks32pO++RNNAfVjuWJ87xGPhI3iGnIbDEagRGJ7xN
eiEQkVRvY50cSQK4ny2GM716r4SGWtVDNEbk5ZMSSEZHRWDIgIC20kPqTkz5aGUxgLtoOXQQAohT
WK/M+96ZAKzaH0kHyq4fprUIHXMrrOnR1DEvJdyBEa9wKuJwkZz92AhKNhkpN/SIEZmXsTO+z+OR
vc8TnBh9ledD5ecGr5MYxE045pcJK/PSJJmUY82lSe0XDcYAGWr80feks5w0Y+voI2sAW3sQpdj2
gnaMQwo8JxE4ejw9u4t3d4D8m6YcbJp1sqLmrY+sT9PRpm1g9g/6FPhTC+l7CrNsHddUhLbH1V9q
YEwoTELuEAKXqPHbGElfmVp/LNYVK2fsflhq/56bq7iyzfVk6ncx6vpVVMlN6rG71wCQrCQhA7br
/oD7Y5uYlgfLHIjvNkknMo37yvaQThlQnzwL61xK4i6f4Mex3W4QYEHoTlmMm9PaQBQpDfAyIXre
teEh4UHc8ZpAma+D9qQhUKxKRH9Npp6SrLhEOvixutqQU99thoXIhXkYgHa2WP6SDVTt+YZRwKsS
3xOSJJUTdsTCCp9Y093JYniTzfAV5+1+ZqntmMY7+k57oyyCfIoZmPJYY+ubBxYCXDxKPPSpvOtY
hsL/zy89jiWNHSVochCsNvoT9E+PQXvfCZ1FKK37qqjdjFVfsGGpdMlscRYGm880bH2wRRg1dHlV
dB09YAnwavqtJ4Yns9eedK8rtmE03eNw6zegDe7yANBZnwQHWq1X17snChnco5lDHWWPvG7bhAKb
AnNJO9wkRH9MA2hvCqe+7natjNAP4XrOniocoOSqBkB1QFWpyPLHBLQVcjv+qglpVzOJWHCPJM4h
cm/w+YVg37wlfImMgqHSX7UsO7p1Z+6CcdqVY7At+wzTSyU7JFXtV1Q1m8m2DtQXeMIpMAa5sqkq
6b6Gq54eqKTtg7YoT/rYQyHTky7ROD71vobvw3stKgsNnpt8TzJ6jdrInyYMyVDBrHXimYiuppdS
xJkfmLsMDMmq6It81eBqcRJWe6J7TQs27AHbzk2Q8K55Dsk5jTfgdjSwcMo9fy1ZxFdO+jSOPL1t
AJRbNVBy9A7ZSm4DgzrqCkRC3lGU3yoA4pZG6qYFfWSldozpdTyp1PwEBLEHadfRtKFHrtqveJie
UlRsW630vFXFHe97mqQ39LiVhqG5KaYtySc8qMhxMpu2YvMFQ0wrYbNWAcyfXq2g8rAYCJiFxPF3
GWRnXaJpogUDcB3YCjRrs4/GEiY6dfaqLs3vwcLUkT0Z7K53CN/eJWoWOY/MTzxi/iz1XbID2soy
+yYC9YOKeoDHGd3MIULVij/WzbK/1+drHXl7eTvyNOVWvMGp/BGbwda0+z8gWW4CD59XzBllwOTM
e/kMV+g01RpKjoouvrTqa18LdGVs/yTbK2BHO20ZhUdqOmc2eStZXHTbGAGjw7J5pdTwzD2KGsRQ
iFwG4fh1OO34PPiUXUiiQHQgvPQJD6q2idn+PQsT7chQBXdt9O2NLwSyvaCfeZR5R7UJdcVGZ7Fu
AhK4EHWgSEJLKekWKHi5N9HsllDea2drAcIz8X9Yz2Peabyg9X3Ji7cqButOywivb4X12sP9MMKh
3xDuiEQy88IzFoLHcHb2xqJ7E2HUUAqvqABIT6WHxSWLv6uDMtyWuB5789aLwjv1w8EbhIj5Koto
h/4uE3RqTm2i2xkqJAT6a1Q3UNrN8sbOhscRncJ2iuLbRPZnoH9g9djJCtawgKGr84DNe5ysB4NA
F/dD4lxudC7M1H6WkfNADscGf/4lIhUpbbGgZNOxqblbCB1DNLJvLP21a+1PTSIJ4fc6YKra4sZl
GJPw/JdzbK10sz9U3U1aOWRUIc0VBKLWrfEWLM2rq4XnuUarQbxrajozg7vmS1XjohV4zjqQgkxI
B5Z/FN66jVgk4GqhiumKktBOHTeVzQa5DNrPQvR3ilQ9+ADklNTdg8zECZFFs2ZJQU2F1N5lY8kP
ppH4nic/FADgO3WzBblYfkV5tE/s9FjjLdZT+ztya+ZUda1IhzfC7RjvzEndpA780LrKDqof8ZPo
yq9K+yM1GlCXbGI9O/aTFP9t0lqfUVDc1bHt8yOcuugqoSE083AuNOg3qYN0IwZ/MVj3Qavhzgj+
zIUGC7rfjDh2HrX0HVgbUTvmWgt10NaDibYzVxurNb5kB+bSix8g4oSHski/22B5saPsfTL6l7TA
qlJYOI0b0gbceLiZ0uFSgkDDQvFBCfGhLzJnCTDSVtN7p8Jh5eo8yLUchHM0l4LARYm8ufudVI67
kSNzAzCTkj82j6jWmSZE7x6WoGWnes6z8IQK+j53BxJCdO1tDoezXnnHyCsuJkc4UJRdW5ZIDABQ
DwgW4yF+jbNarP9UtvqyrewzUCqggC/vcg1avsw5XBzcMQHmD4cU3GLwA2yvDhO9DKzqycryB8SQ
q0KiISlQv0wDFiYSkV6SBFWs3UF+mQd5imdhsaZGTE9wzM6pILTq63Yek5WUcbqdQ3nKSlL2RPWO
dPza54HrwyC9cIe84HaQvtZtvKK8xJ0b7sw6WcuhC32glmsrmW+0oDgWWU+Oo006SQfph0ee5tvZ
2jW5u1BR9nu7R2G+6KlHF4vd8kspy7sfJcMbME105VR0XMXFxcqeIchsoqy8raP2NerRvi6X4DxV
5qqgPNqGDhcKs/wb7H47JuKvgWxvmNxeA9Kv6RLMgdPJIJlenTKRP7SR+ZaP8LXLNqKsHdTO9WY/
Ei0PxgIcXgFjNtQZyjA8Vnu6sYd2yl9Vm3zR/T4OC0pV4gexijnYQBB4tdW5VmTP5Nhco4gSJWBQ
f9ZcuP7oqNaI7eGv5ua+1gRjvQTocmJW4TmftHMplXZDr/ky5sx2505ua0XGAEoLkhRbhDgYapiM
iywlj/hC3hcLAr4ADCvti753NXX9o4gDdz/O2o2iKz+EecoQ0yWrMB5oGrV6a03E4akE0b0ib3dq
cuOoZWiZq7kK2URIGjU30nd5YOymyasOtuYix588d40DLL/XpgZNDWSO3e9//vP/Bfk+4b5kfQO2
Mk7RAiuTZ1Vr08bn5S6L3E1YjK+uiAlasLqtI/FUVd50KGVOaJcr3x3myAYG6pW0Om3P77OdDQrV
jtzsOjfyNa3N85zVza6nQq8HnmF9zQAybh/UWH50LQio2OHpM2vDQRg9UTfBHyknYC8Zq6GKufHc
VD1ySVQEDd4UrZtaLEyU9s5g/OAG5qahws6D4NNKCIZiRASPGDash0U+0pFg1Q7Hkks6/bCUbBFs
RxBGMpBfkWdifhGrZOIQDrrgYM3xWRdMrFrPfPHSmw4pAh7hS7V8u3jZwFgOmPEheoeC/ewKiBik
ZAj8N2vw0edZd+5zdVUJGAaUNQ9FiMMdI9OhVoKRprziYVzV0v2uR1vyMITkZWd3ybI68DRQxvNY
n4QeDrggLO4Ir5j8Tm+PXY/usQpJPy4nJGsI3bitrUPRix9Pt+ne4KegE6/SiEko8W0rQ6qGK8si
MWPCeAdC6lon/euYN5RDBILvAiv/M8Rzc2nTdhcy3iZQVTEHA5jIRcl+gMhYL9Jf40levPAPKqjk
pNeLF4GGU8GY5XhMHvLhObCwpfQuPVoUIo8tsX6PbYlKuESZ4SX0zhJZHgyZXRLrxkvqcVqnLZC6
lBELNCh7Z8SgxZm+OL0gMdJ9dPT8BVJo5ms1BoPeAEERwoHOXXMXL1K4BEUmb2JI067vBZNDhlTo
NBl7YvwFSG/yHptKq46z5tyMdpruUAbxWebJYhe21V3nY8aQmA+MKoOe5Uof8lnNwnhrR3o4jUhO
t8jcdeqAvg7m/tHISgpVq8JZDOlnZTGwstV3mlS3tVcM+2xa3EUZnhFTHNq87ZDusJhqZoZPUqYf
HUM+njalhtmUiVlWRocw6ZcC2nyzHfyvTCvDHX+7vtVzNEuDibxtWT0F7xUTFoxLGrVre8Y4gGkQ
Q2WYQdOjGLkLwLwAmWPY2emat+tvem1B0OSd8r3Crqn5WXs4/eAeuoqJXzx3A/syLhjPClMYHPUG
8Rzwuzrt7qqcJVBjgwC1h/LEXP4S2nAVOuY2I6mjxsBYk1pKHZIeCw3d1A5KLNiBLtYvLWt3HKUc
YtKUeGziSyH0q6cEwXZ6BxZ1Kg9zlSwY4cKPTAGSL+ThQHpaQ5IYQzsXS0OSjs9AWGFhtE9szXj/
l/C9mYlsEDfJMSsZq9O35hhfnVNt9dtCt+r1UBXxuZXsT6uaob2yRu1UcxXDAAMW2CL3pIF49bzC
L+yl/ixb+zT3BzvlJM3i8rlwZmuP54zgE1FOR9EsO6Fa11adkePbkmlNXQs9vewYq4mIy0IbhHli
35i33Gi0WY79nGfYxqRRBGtXrAsTSoQ9KHyz3KKNcpdb8pqNfIt04ha2stpeCyEsVHTVGX/tS+vw
2gZG60DZS9HQcNtv8vG5dviNK5tvaaYYzMbQ4VhjJeO4/Yvt2eT7YPh2GUqewvJOZ4TCFcWim3fF
j9IGyiNIBD/gexukMlgVR6ixVFmSXY/vuCjBk7DfCxr3la7lmm92otixLLYiu9h6yDCjqOf7VR+6
I9r73Az8PplewDGcVS97qAnEuuaYL0HtsCKaAQiM8cxf0v6IXOMVsMNPZTmkwbvdMWSHyuDQM70a
gAVjc0d9m23GSzQlt/3i1HUD9zmD2L/Hp0SEXKXUqkWDujGrat8VJ/izjF4CXFPcSJBZ1EVMLcfN
CNZfmjg7KStsrjmhjO8xtD90808/zt9dUd15KvFtu7qdG0c/NkSD6k3wgXaPzxamg6H7MYAstRkV
RyapITeONvQ3AztmB/9UEvV+E2lvXi1cpAq1vua8Q1IgNOkTqfoVpYKdDmsv8uqpdOhzCIimYqWv
3ZklZ2U+TumGx/YhsYLp6GDFWcW0PqLoKGbDctxqSttlKn5otUzf1u6tKTQKQ3167kcAVY3OVHis
n9qejYgz4LsLSQMbBxDUzpjN/PQh4QvtW+awIrP+ELB369Lt0wTzVOz78UWYtAMdfrVV5GnU7IQ6
2tE1LHEllBZrA2qVoUHPW/ZvwCPQdAeXtEv7lei+B5eBvkoYwfeh9tgyFCjNzAM+XTgMP6wnYMdM
W7M299GCfGi07nUkJ8hhsTgQMXmnCeDwrg3dhjyOEkY/82ujp+eDGsfwXxU/ukWucq9TsTjDnojW
cpcWJazP7BNHecDnYi7RXDpjU9aAzWF5QxnAUavsbBdZYDznapNqyT7XYQvVgXVbNV5yLNElr60K
PhJewEl5J64j8lUqvDZROww3CmuWqBGyjKCzou5jmsorT1gSikBAYyqJYaISVOCq7ZSUzRlnGVN/
L1G3+qy+kwYtSBslD6ZOLEdUMXqNShtCX8XgBANddyUFOs61L2btw7sW7tm+ImPXxE1P7MPjPBZf
UsIHlYLWqG5uYNbzrhj6vAuh2l3j5Q+b6VuuefL4+7/wqXz1NpMHlcKB1hr3EXDBuM8RiBPyTEAI
lsatq3mQBet+2qiKczhQxmPSxQnXgf7SqIhMLtOU65DcHgfPmJi9lzCOgMrUzLRLwM5+HdDI5MNM
LUTuR1kdqrF57KUiKBgDkt8DUxqXYAUOORzWdVbtuHlwEbtYlFoX76/BJo4SjjPWQWVP55WWvlU3
3U2v3PuMEHu9mPGrKqO+ITuFdIEYJCWfjwBea1lvVENyrYOJIT9jRhyFn0NnwCSVrOWTzni2nEqi
7nhXFfEL0YjBugRdVstrzkYMfDhh2xStfqC0bc+K1cjInimBliWYtgKnxxpOlFXdjducvNo+Dm6A
khFUTq9CW4YOVsGL1ch+Kg300J5SFDnjD0cuMDbp3hpWfVd1KWMYBxLHxP5T8FwijpZOAG9m0N8m
Aa7x2LZ6ApzycKtl4N8qw/0j7R7vYfs8tijNRE25Icmelg1WfMuav8Xo7msLOmvyRzpcoHOefcEB
R14jW2o/DdV/MYWnwVJPdYqYouXiMpvHMW1OXo3CB5+mj878yUjhGkhPfIme2ClpGaDlPNNaB6Y8
m6S3ZexffGDoBw/Jz1El45MxY+ELlca2veQFkOIbbsCuI+YLp0i2HQM32QxJ9gghgr2pxMmPjBw5
3QQZnO2BLYK36BYFCqcKPP3Z78x2o/U18UpptkOWcZj64KoaFsSSWURqEA3CTI8Yiml6yclbrefx
IsAbUKUSFxWdMCQXK65OskmyZpsKfFrpUp2xR7k6SYSlO20wbPbWvrLbgwExqcvHB22ajQshDXtT
2TwG4j1cCpvi3foxUwucMawIrWxn5lwpDwNeN7MipBTRU+1Gp5ZdGjO3D1O07Rn9J6e9O221tvU2
DRxlT0RcLfFdVsLlCznry3rXCOPg9CTGpACS/cxQ75kTY60bsSuZ2k9odx+pSD9biMpc/eZuqHhf
BFkk+KDSrTM34GoZQiZJ7msacfedhZ/PLEGCCFxsTBjY2Nq8zD2aZYRPnLDHpE2eeP/v5WeNX3IT
Mi9gTMvQv/F0fIe0VXb4MzbjfWPKHyIuXtypeWALAYU0IQKN2CH2zrjLqoB2QBiLeoc9qobn2hHg
jfTII70qnwll1HS2zjKwTqoyPo1gALNUoBNbtllFGyJ8yVxgYYU69KNz6uvjRLKy5A4qUO/lHNyB
o71aXfynNnFiw7IedyWg5iHAPV//FLJ58VTINLoor5XYGgFPTs50kv68fS76ywhQAu/swPLE79wY
SZ0u1DakUK2UzHx7sblw+HxL84eFputHs3cZkaRtCkN8ZXl4h1k4OsIQOo72/GsovygAYRTu+dkB
FJgWVb5rJ1v3kc0RGMDgpyucnTGM4blpgfeHTXWPD8zX7ZLbPxXHmqY0bCsiGDvQA7lXkcQaYiRL
fiKIa5gWCIorNH5vcIrCYYpDeUsTBoZemwYsEJF3YrKxHptieQ4CuCen+zFS9a3VWZsRqAM/RrwZ
8NFuXKbl65qZnwMwd1WxLl/HEww9aaXnxKnuQli3K3NUbKxGlhhjnjCsIv6xJYN0UNd21g2ozf0W
1wR4tZSiTDX7sgD10TETjgvIO+1IHGA0X2L41WuSmApfV+0xdJNDEJI5Ci7iRDJQ48OveYlpFrMR
v0vfUAK0IRw4in4AEN8hC70qAazghVq80Sbzw2mrq9Dbfe5lk98a1LtZizuEulpbF1kJa3u4bUPr
U4lTaHFqjvEgWYf98dA4lMKGWNl7P3JqPxh+icp9ZoOyG4uQXUl6smhKoyVjZgzNq0zGazQgqR5I
eeiMgwqzfGswHnBy53Y0McMxnqp3qtKPcGVAm9XmSzPCuyEsaWWTemq3fbL2CueGTPaHwEruBWfK
1pXdLq3nnaeMY8CTXLjJuitZkBGX7icJ00gscAkWCbNaEsQWQ1zihhQ7Cl1MA89YJx8jLkFV94Q9
ti1VCcNGryBZUWnZWYz1d5D03yRukt81r4zqPqu6jptmwgpTvqK7/45H+6frS5/sg42lZ2qnayP7
sgmQYUXX7kSfjGRZ2GMgY3imXa1yfoxs+ZzIca+b1gFTZrXRWvMcD9qCl0Wj0/FAtBu8tuc/aKn9
SiensG4I/fLE1q54wurDJ5L12yz9FNYCOEgPDHXvsISROdOWhIt7mxr0AVYn48kra9RI3lvU4Tpn
03nWwCSsENoRb52PZzt3H/BaMeDO3Se97s9dUF5/Uf7/P/Xg/5J6YAJg1n9fqq/xf4U/5X9JPbhG
cfnX0IN/fcK/Qg9c/e+2QSq4burSNjzbInNg+Gnaf/yNmeXfXUOafJRxmKlbhvnv0ANh/N1jj0ye
gCEd/mFbf/uP0APL/bvlwWtxhQU3WRqu+/8SeiD4QqrMprAsDt//+JstUOkYrmnb0kAIaRKlwMe/
Pu7jImz+8TfjfwaDFvZRYduHIiLmxxXTNfCYCwFPZOUf2p9WN5E6+un2xr3yCFrLPPq8vnFfK4+k
SFuIft0OITpQwfolZCwK1G/jMbfeIvO4zcrcRjU74neTct4XbrUBxninDGaVqne5uwZ8vXMA9dWC
8EZF7B3m5KbE3rvMHjnh9Tee85EvCwQ3zSNWdpRl0T43TEwj8PaNpjP9v7x7t//83f8Hy7zbMi5a
fknzv3lJ0EB4Nq+KaTFh4m3560vidW4dGIMnDrMmvX2IZJbwTe2GFpGtsabtUJAjImDJ5I+zdaOH
0d6c03fNoKxPFKmYWN/3LYp1pFIFv0149pSOSCrxVmZaonfrEXWEnvM6SUcd/s8/u8Hb95/eUNey
bJdhr80u0qV+IEnjrz99ELHyBPdZ8UwJXnNKjrWy8jtG9Gg4Wq/cUa5di+GliCUadgW8q5IVU9/a
fSkTbSCWDe4YUAeHqQ36IlmavjNMDO5T32HZxsjP3phNTPZa9dkrJTeWyS5lKZ/w2qPdsoH8Ezi2
yjFbGuZ8Fxs8pwut/skZ+KwUUggoYhlRz6xg+5DmeL6kA7PaaHRfIbE8SdUKbKrGgVYP4YpzMAim
OTnubUiTR8va0QF46dN8Bisx77XePOQaB2Xski7Lo7MXpOFZ3rhJ42itz+KTMhBbgdN/TcVxAdkw
Nwvm9RBdyWKq/SbU6pWBtnfltN8mI03G91ivyUYDCMGCOzLzPRSJl2pAd4ZiEukdZmVHe1YVfUBv
al9th58iYlh/jbKOMRYoG72HctsGaLDCTj9XkIWYVvcI9HV5IO7qsTBJQ6tHTAAtX4SVUbXG5XFH
LNIXzUSyMgdSpxOyPb3J+EinR0DYeGdH8eGyV3atiAFTexvbLnNqJcADgRpP8+aU5uC4Mui8s+N7
QQYashboTQQPuThvLpWYyYilZ1+x7dvh0/iYgbEwt8ecPdPFd339qmxyuLErK4aK48jS0cRu6G6o
pU85jLB13tJF2nAb6BBcC7Rfx9iVB2ZgYCSourtUe3ChGO0zUj2X+Mp8poHM2GHmEmYfcwc7Ap2E
HHobxcWH5oBByduBVbeOgHwuMSm7+OMnNb3l/ROtNNPPqnhWk3iv2+ZTZlQDyCSkOyK+a4vvhow1
k9EPLJcYqm7LaqXrX5xKvRGmogkUfYwliUhl0x+65FSL4KRmnKKjLl5lHPtjaV4qfa7XZcJkGzQ3
hhfqdWWEO6lYm+hLQCobxQld+XTQI0AODL3Ttr9OfbeLzPa8NCQtxAl3HMBP11/SvLO8HqB+/tQY
DPlCffzQDNtfyo2UTJGZIOgSxhMmcKDQ1DFjyMrZnSRiTXwJWtQdEFkyAi8j3AXixU3lI0Syo9Dm
M/5f3Y/GJN9ESajvC7gZXU4vGJf3idN84Ix/i+A6izDb2txJMDC79xaue4ESppTswAp33xgGehiP
AYJOEKf0Ag5W53EumQbJ7LNx3T+wB95r1u+EPn5oTaTWJnzBjYTU3Izebdzbrwnvp5FE1zSIT2mV
7Nq6ehqn6lihZJO2/RXY/AKF+EDcXO+kgVe4CO7dRF2SJVmMQDXi3O37TJDgyn4cyobH1I7ktTXO
810eGj8Fd94K7z2yIZE9dUCIHJ31TOIs81WdZYc5lyR7jgHrIGbnBGzcS6wh4Mv4Gow0OTUmoLeZ
dQU4vCkXpUTe300MEeIxvUuc6QZ5AkGC3oZSGSS7vSxbM6wXnucTBgKijIw8mCyErZTmoQm6Q4Id
a5UFn6adn8EvP3gT+BdnGp9U5pgb8kHh3w367T+/bwquNyBzFmXfPpzJOU3lZrm/p4b5c82thNT8
EGSBj4DBh7MCqDVE2Vyinu3HH9ookn4CPNOahTrQuGWQdLd8IPHkK4J7ejMC2tvgPnSyTTPUxKgH
zdpy3Xd3tM6hewrSg2xI8AmoW+fDhH6OKYiHaiXY4bAZ/djTGZWx9h00pmK6cnbQVRqkuAzQ48iu
tp0TPQaDbTAK7w6myZGJ195bN8gTDIEQyqsPRWu8WOifkzrbpFLeOLLEVVGf0th+bTOOMHcW0Pk+
oIbHmyoez0TpYenyar9AUxrR5G+IUUBu0EEW61r52NQIiGyDCdA0JzB7XLjBPN7WNsQDnl/PFhQI
wofANBfmgLnGumaqfg6i8daRPVO1Qj4bxIYmkCGimPWm11nfVgN/rmVsX/AvNJJownMMLcuH2Mze
K+GdC/ayUElaUo6sd5Mk0hmTDQztcIMSJeMI0ZCH5r/7oQWNN9PozP2f0eruHBRgY5gjCBr1I7LN
YQ86i5QdVENhPNbb0urV1pzsa9giDyIzg0S67pEImoFt+MT5wrNnIj7DTo2vvKp7kIklunz0g9Ky
kdQ37LVRmyoteAHUfrECuGHos4rtGOo7SzjsSvVLLmPyHEw0maxzIf7TrXjeJC5A9HfD5D4k8Kg0
V76Ct4DRmXvR5j1R8ceUMytybOvDphBJFiy4hjolEPCUVNwWPukrrAFNgGIdl6IirXd2+QV1K3TW
HkFLsPRg3rb1rSAmIKL3QmMQIO6A1nCNTIQR0J3VxSli/dQ24ffs6o/V2IOZIn8K0BbJuw1tENOP
vtPLjU44zGZwyp9YZ06eGQwsYGX4+ZTsQsM7tGHF29Nage/aj20Yk7kXHOQIsaDO5a0uBt5sMXyj
AMIeb07IZ8wnhEnFTmghW1iGTZ2UjwOD0jR0jyY+I0xEBIgwR7OtFQQYEKLEP83tR+Y48w4MgnvZ
2llyGYLuZWa9zFmcOytCPodWPGSjvZEsbN+Wlw6zAJk7vB+Dbb+GVfc9kzDEpaS/DhDibK1gkCLk
S2jkD7mE4NG1ht+UxqusTaJZBNQ2kX33Rc/wlGq7jQkLGL3qRPd/O3T9u+CBiFoBjGOAJrmYWJNm
dbmqqvLZDdkZWNlN5FSHbnLuNXO4JqoG6pE+Un4etW4kspa1ki1YcgSzdzDQrPNZbP2gKi6/HY9H
Vj9LiP2UHZZvazlia6beg5s4P00yshMd5bOS8If5DXGF+EMqUK7fOFN11byaH1yg/EQaHbCRaGs3
3o6el912/efc57A1067ZoTggtA3YjWLgYOMBavNJHtoRnWY/5HcghMojR70xmX5VqKehncgWkN2x
G4z9qIlxbWUTgD4b7GsxxHLd1vFxLIFzCrKw9lgK0HnV5VY5YrEIxr5QeXsCLX2bSeRDGmIkrBsm
HkjTIlAsiv06zzY2yvhzCknUaF0SiUw6mFRYX26bEHCO1HxCFI4SPn9C0EWtoIGgiIT7mKTYtQpG
Q13bMW9N9QejWwOyLPzAhuJXhtz+hKZQl3R7r/B+4hDoRTHr4dpNeOHTgbXdZM4mxJl6WHEfFugl
6hu8ZPp9UaAVMsKYFTC2QRI4gV0UWDoZkzVrZRCg2hzGsHE3GkGfTVBbG+WSlD6aoER1lfAmDvoB
KRuKHHTJU8/yrwjFxsmC/EJoxANuxXRTE/m96aPo1GWmtmtsbg+tIrrbmSGpZEGERYSY9GxlEegN
zQuJSzvU6tgvf+i/4IB//+fvB4yJJbAzxLvfDzK6Z7NdFNXm94P//ATrNmPITGWk//VL/H5s0qEG
yV67rRbMegmSdTNVDMFMaxexwztonTSINo+j6hiRErzWTILjtOWC+f3DXH6g3y/0+59qNG+LJGFi
uxAexn4BRvz+a6qzTRsCxfTYfRsXcEQRWcG6YDvsy8TEJmcapAJjFrGkrHYx4bMHxP4Cq54XHnl8
PEhWLl0yBY+CrI3y98svX+b3336/RYgzNF39fu1sQQ24wiA+N+BgQjUFwGFyGswdORlRYzWc4yaU
gNAGv8pDGP0JKbZereus+8kkQ+oz3yTe0jFZttpZqA7cWMwnLpnoWmtGdCVdgHgdCL+cA03hZ8yJ
16HRJDdREGb+OJg18SnkUctgfhhGHgpj0Jr3MgyzTZ10sGpt4C0U0ix4h4k1lFNCdNWEfWebRnwk
zt1YQk0Qy8terWVuWD4o/FVeIsBBbFxRty+S8jTRr2mk+U5fvlOPYDEPvfgcR/VzC6mbKrHwKzJw
JiOvLnprzbcaCxnDzZEezJO3JTfK3qYG378h/vtM5NEb84WvuZ7TA+lSex4PwbHTyC/OMG7kaIeF
psR9ZCQkN3cE1thohJyG86FQPCranN1mE9nZ+8wDyU0s5p+qr0+koKitcHvLr8L6Dpw6lnajlr4x
1A/CMMfLMNNM6fnUbNuuME4Oo47IqSFP4CkGZmYf6PHFoemD5I6FGf5ubhlKjeKzb89zihq9FDzA
Gi3HKWpQiSVV2DyFE9uIiF3sxpDLYibqs1cpwzt4QGiB0mRkR9KHj/BU/lgV5/fQYBcY6xZQUGAd
p354q9J8RHkn5wuXiLtxMZ3RjIfh3gG72jvSPQ2OJk9Q2z07uZ9avEy03IibWHg1ypuuwulvU/DF
u7QLP+2ynQ6qFJ/ZKJcdT5/6o9NU8GDj5KYN/jd757EcObOt13fRHEfwQEZIGpQ3LHrT5ARBspvw
3iXw9FqJ/s/hfzqudKX5HXRFObLJYhWQufe31+ria80iURkAadn0pnua5np61FzN2KTFwNEyM+8d
IfzHUGMSnTB7vlZ1Rnb1VHwnTDU+foKBWShWrEXim1e0q82rQbdvifHjuRFGunXmznwCDHqLwT0/
xL0EDqZVt0IE12NiZAeGfttzyPwOPLTyxLo8mGfv1t8URZ/cN4YlruLMPVCFXkVsTe6niUFoZoyM
01jZP2K3cfkjplTeHcs/RjLENOmG5rYQnFX1+kfAakThNC0o74k4giPa2oxsXVcEO1Yo/+yjC+aX
xuFtOKb6QWtV30vQWMxak/jzo9FSeJht90JgNryhicsMS2aWezmEpxjk2i7Kg58dnLh75pM3STF4
+ynCbEEEjxfMmF+HRqYHAAnAjstjX1BTh9FydnjnNq2703QLfPNwiiJGD7xRAnGNipcAmea9x2iI
gYPvPFZsQfUcSbPHG2Kgrs9yLjyHVGW8Fa8wtL8iGK8dSb3Ed+Udbj2wYw6OttpOnYM+s483nMrZ
dK1pMZBK/i6wz93g0+BsUDwzePiLGEF0Q0wBLJ/1PAhWMnKmlD9OzV3DOzeqw/xkhCW5ytk6GlG7
q7CV4o8kIcRaQmGK4zcLr8F9HdJ96Yg4My14BzjwmqTbsKUWV7ABQdA2Z8wZa+fKn/jtLFwz9gzQ
LBM7keTFPk6wAPgmpZcOByC1lZDA3dke0/6MlqNo7pw4v41Z0hjrwLfl3p3gdWGBgTErC/0cadMN
6+lkVzaFfwzUDH4vbnS9GjhXZxqynekaDgauFMKrvG0wj8edcK/JiHKUaRjL1vXgZPdu8eRo449u
MPRL81I3WvzYM/9OfAiM3tIIYsGY6849mE/GFkPwkoUNbtkE+89UIwuismGRPaab3AJgCSOMyXLp
07zJpz0EqPpMdmTjOcAHqo4hWVYiWJsprbn2E9MPgOucge0RFTiZJeJQ6T3opq64Ah3cmMmFBFGo
Mh9wnsTa76pzXlbE7TKUB2Wr31GzXPktb05SqiOSMRj94uSpi+VaTICIdsRJgzXK1khdlc0VW+CA
s2OkxFvJYZwGYqmimraBTi1Ja6RAYKAxII4wgLINoRk0e/UXOfNp2+qaeUqoFyOXALIcp5hfVkaP
Qvr3VYU+o6JQZxC3jn4x6sGNmWUW0i1ypEgkOuqLuBJkOp9swQa+y+nOZg7616i1N5HXM8atmqHL
XcvF1Ipn2VPqIMk4LvL1+TR4JnPieNhnWG91fNQH0rG5Qy9KXSzXmA2c2QeSlvt9u5uyeKMUjZs0
83F2NB0ZBXWtYB/OCt9OYWZKQhvUq9bLA30cYtOVCSoLtXCp3aE6wY8QG71sUFKo+4Jl6fL9sMu5
fwtp743DvEvsUjD98q+vXb7BcvHHfd83dT3Job83CeTckD3o95fUHuvZsEDN8/3s5VHU8XzJ364a
FSVbJwpzzHb8xH975Pu2r7kkflvGHf/8DZbn/PFfoLqo2AJHzCipXyaqA5eOroRE/q//4I+v+I++
y/dTDMknN+70XaVWixwIiQ/bkvhcGVvzWnOhGbRllDAqyMO17fOyj4JfMiGXFHpg/hSqaLlYUDsU
T+Vft331CMIESndBhnmRaVv4P3kOeHfoOYtO2kNWkHoVOUEA9Q7gc/UpKPmgRplAS/MWL0+0NXgg
bNjgB6RzmFrPHkQ3n3IlDtKsPJrOWdtQFKCxQAmgKk+IU95kMYO6HuEIluPOJAkaBpferE5F7uFZ
GfDqRZMDZwfc3Ip30SrOWKc7w5ONlwkdV/UQxx4OiAo0KGkqS9yWRvjuEuxZGUN6TSX2q+k3LZEz
4Bw4IfvYg0oZH9l2/8BlRqze8ddkxj/cVg2FazogmkZ77w1+/5l2dzJXB62WnxBpSA5VUkJGgZHi
IUZYNd10sUrtC0BvyDnmoRjtpyQdH6N6qoia+LdLBwEuMRXebPwEIrkhe9Uxi1i9NPYvXyr2rD/c
5IwnmDkj2lSAdFR1myjqftmFto4sefai9JxrDD0Y4ZupfmeNdgW6WmgrZ89JAhaI+D/6cdOx/kvI
Dsm+dNZhWDwAGzqPUuA7yrG1MQPl2Dem0z/jBMHVdWdn9TOTUPdOSQyztO19F2s/W0TiG9HGN/SR
H3xjfkrLQR4MDHHM1JRXXQMPW2tOGWu3NA3SU9UFIU316b4KXZK9ZOLLiWVRDR4gGtkgB227al3r
UuMB2cQuYSAOagyn4AZv8BEBUWc3ILInafl0Zsd5558bFlskG3zBaCQwk3rG28wxiewJy39GY++7
+mlC30KOcJfQSMM38jZpzL3J4Gj0wXXtjAcxMMFewEjqiIjH5rXuJ8AjiKJ4pXjwJIniS+2Qgu2G
S41RwY2njejehrG1KW9qn6OoryCFpPsytJ+r5LkykxdJPoQibG/t/So5a7g3tmJkgpkiwr1vwqX0
3eqjtHJ+5FZsBw4keyuxCBH0oLHH2nV2vHsIZZs1QJtAEPiimaRaXuu+ogmRW9iB7MqRB8vgU4iI
dmcTi1iFaiPjlmUAf/9nw5w2IW3IoO3BglnJIrqg5ZBiN5pp9zObRK5PTOwF2akDlhfr6V5oMdbL
2f/p9Rl2ICQBpgQhEtQ5b8bgDjpjtcoLcAyUFB99C1Si5wRPcentC719ZlN2ZC/hrvKBv52NRRcX
hXMbW/zClXQAFTTzuYyyX/hPU4QsZSa+/FGvVQj9JNIMSPyMRIL5wrdWt1zoP3Izpyp2TEV1bWbF
evYwSjA2ITce9XvzBW0eRcncoxCUxXQkWvLFTEhXKvCXHtCj5gyoQ8eGhVzN9Xn0eN1EmP6YhH7s
JQhUh6rpzEtQFRqB2eINfHi6M9VnrXJzNi2nyjGu1T8mSCGssHSlwGltGapLdprTPPKG50jjRry1
GnBaqQLalJTs6owqQzNzcixBTNmNjNZSB1QYw2YoYVFRYig3MeJsujcus2lmeJ3TKuBs5nmsEMIr
IvkTIr6NPmmkskLO3KjEKRS/tpR7zm2ZoufyLaZaZSM38JKwGaMMafz0R0N5ZGvlRLKtpn4IMmZo
gJzewIWl3KT9yCUTB/PI58r1KNi5b2ZJ7LNWL6SRDPS/nJzAsEFXK3gY7OmtdcRnQz2Ev4bx5u/D
RpqwgwOMM/JXRx+ySdP7WJRbbyT+E7jhk2pI0+3C/NFF3d53s30z1vEWXgTzNClDMGPtS9jiLOmN
dMYk6+RMo484p/yI6FOe2yvRqV+/8+KND121biyHSp63z2rY35HNflBaLv+hY61bR7/tsP1tB7f+
NOuo3SfMhxAOObY00pos5y1o2vT87K8BP1deO2dnwG2jCvYkZxPYf0ciPeHG7GN3XaDPIlT8aUbJ
VZqVn42qp5sDQs+KUuH54otw7QwQ8CtYb3vPPQjZVcfAnD5rPkENZWcNmvAQU7rppvg1kF9SmyqQ
s9YGuCKaJdq7GqaglDedTulUd79SSga7qlKBWlrwXVYcIuhuB3ZOYJTZzECZ9OG5zFGe7mxqsKs+
dl5jg65xkn5amUmMLJupCCYos0Q43s2N/5lyDK0058lLjTMxOBTDhnmj5Xgke8N+79qe8cw+a8B3
8jORBdwUGvigoHBvkhQXrgujeeXLbsOnnVffheLKEiGplz+F/UhjrVpjV8N8VE+8IQAQ7nKh3ft8
LEnDgg/voHohBwLmArp402mHTPtFvjajbkBnp3c0yUk05DMg6+c0u8lKMW+meVQ6ijX5KPPS90wV
yMrbpv21DshhW/VAWa3+InQ18ZCwSKpnFgcmWvGl4f9fqZz/PJUjyG389//1P/5PqZw0e4/K/P2P
ZI76or+SOcL+h00Kl5iNZQhCE4Loy1/JHEO3/qHrrus52DII6KhUTFE2XfQ//5vlqUc8YjkILSj/
u+53Msf6h2s4jgMgkOQ1X/v/lcwx2Rr9e5SDOyyPgQxh8GMYlkr6/FuUoxlSv5AMu520WE2QUgof
J5bGyqRGvfZ5bOZ1xawi6wlpbnrtIfXBc5U95ccohXFFa/3MiYPDBPoDoGWoGmuaNUDr7KMINDB5
NsJF2z4VTdhYrOmO0VjEZxYBlZrXsvBnr8em+5CgRpguoXWVxzOtxnljTwbsR5iMtiv802zl4kR3
YSC9y6LGLF3vVDGTU1FrXAMwYFuka9AuWumdlmvfF5qNDzKWpwnZieMJ7bA8ZFLRZF+qvqgeMdxh
/mx3oMOeyTdyhsND8PsibCsTuxNb69Th3LDcZCkLDopoEODpfz55eWC5iNVXLNeW77JcmwqWcYwZ
bw3JuHnefEXtyIbDz0kY6Vl+Xi4AyOXnBlHqwUlIxEymCS+VTe/va125yWFsrqc5hchFCv4YAKxN
5jk70wujRy2EBqM+9nZlcIWwR2lgXEqVzHucvy8SY0Dk4gKPmdIgUUNXg7MBhkjs1DGrc+zGVzSG
522LatIZ4U2Zyb5QBJikyW/N0f90ldIKRta4dfXsR0aSHTRH9ebDJF+B3rsLxgT2euT6jBj6BSfl
gl1s6G18X3uF+kcNfMh2A8Q/+CVyPpRufmWRmmXr2XsbW9bmJexM4yLHCdQT5ExeNuL5u6RJDno0
pUfNZ+rAbEMgar1BRHH6sgqjuAyCXQ0/zWVsi0Pv2ecmsfqrAKVl0pkf4Qj1MJag9AtCdJda46bR
dMHGckpOCw24SI35ObZGwwOGsY1MxXQF3UVsG6elPKQ50cUcGt6dHTbKEenaYbStA8Mt+bUdCbja
eTPsrTFkrWCkjHo4zTjtcTXvJeR0hvWjcGXmDMx7gX1FaJv8i2zPPkHwKz1j5Ael0vPymKhGXj2E
zTlcGs43PMFNXP9oNtre4Fe/TP5kXQz1U3dt9Dxo5rRTY/7LY7N6ghvnN4B/vE2kz09umJAdsTt4
SmkxXzUjv9boxrwejNYIkkXe3IVqLpsypzEne2fqL27f8Jlv1VY0Yfm9a9323+4bm9cmSq/jLpzX
WRrlZ80U6JeZWzaLsDuxyQHuy3+OvkJdXe78vigiJtFhyK04ACIbE3RYDJv/Oemm83LLlLSCUr1Q
pUEP1SQtGTyewbZu7uAePTF8Rm94YjaPoAPBlubkSD4steXeZqFBrLafUKRn2i4Nh2srFfLUA75g
8dTYDJnFRDxA6BlHX96mZGsYkcBCMvj5Gy7q/DSa03AoBTuADm8OfyTotr+vVp69aYy0POhBBUL0
k4j8QAVPjidTXYzZu+3wl/MFHeLCpCiQt9QDmqGD05TJw3KXaNhOGYY9bBuLWBiHBMAc2siGnCon
3Wl2LWjs8m1To6RVMozmlJoJW0U3+QSAO2zh69anRF1Mcf/XteU+6Q94MjNnj6oH2ktAjW823EPe
ufGhGhiVt6u2Zsso3gGTga0MSYQvP9Kch+9G3BBZX17Jnhp96UuNSTBe2MJmw2nJ8TAJr96YKm3P
aaxh5pRFq+SNzQI5Mtd6V2aMFGPX9rSBYwPeBYCYIHpPnV67RzfYLdWyVi/0U5dY+cGK8as64SEu
6n3WC6YvNHfaDUn3ZM0TR2PflzuzLB7dgBc9HlRrnvkHzJQGtNlJZya5xI3idpbYjBTmmX226EW1
kBHC4qod6mjnsA8vrEEcY4KhfeEcNBVfUG019ze2W13tVR+tVRfLNRbgK8uPsdOU2MLgEINBX94A
C4N9uQaD4r7T+2oXGDgVYh8RsOvEnK5ECS8z6NXJKyNiIYKEYCuTPZs46caT1qTjyS5sdOsZ+5Kw
s6aTOZifpufpW6cP7J01t3dLZbQeW+vAnnVqX532F+Ox7YkW3oQBiu3yCQMiJoRTIUBFSCOC0eC7
X7GfNNvlmShHmTcgQPv72eir2CIHJRg1GNJenlQHfzTjgwP9tJmOdaGsvvlIjYjDISzcCaP5bL+Y
OJtIUhz/+N2Xm0Os04VMGamamPj5/TIABVyDUZ4Py4uyXGjq5XCke4XB/mMsaGHPiWud7MEqtg6V
AIJpQqcPGGOzqSO4ivOpTdUbNHUo/U8zpUuTCm9Qzwn780Gc5mvpWeWBHdiupfV98ovmanTKdE+T
mcgDI5LbXiTGJjCIicaKSQ+GxSOjc4LcIk869T7pxJSxWQXoQ/Sgdxwg+hxPgkhGGqQS07QOSQpU
Gy+4upih3EO4LXQqLU4WbcUaV3p1jAYa1nw4TiRPCQLFwSFzORdUoFUqk12Jq2py3xfLfe3c3ymx
AuBcDnbLhfWva8tNtqvVKY81ahWhR/S/hNbE2+ywfPpD3eBosFxdLnzhCJr6nspddFdJSAKy0qEX
uhId/XLRGaQizDb4fQyCFnRxGWVcFQX8L6SKN1rlzsTi9Lfl/12Ot98/xvfNOdC1feEiSHWog3rA
qIKObkeqnAZDPbEp9rOX1qH+v5S6lwvQrPamzXlFSj20rwyvZj62c75y1l9bGWnR2bS1zVxU8mAW
j1rgotss1DszArRRMtZKN159NsVCrrdVXMzv4GDrqhs+BjWtdLigA+1pcwxfszolqxluY78ed62H
MnNdW+m5pxy3lwpdb6oqez6rOdTlqq1uL498P2zkh7bvreP3Y8tTlyckgV0dveHNypZqceIcgLGS
F+GWr16UhN7J6fvm72uWkvqOHNprNzS2y31lGpYcsdSXVAoFcE7qcm8XngOgdWaSvJAnO8n0q2Tw
5iunF8eh0thEevm0jZviV4yr84TwDAJIVc47QwhyfpSQs9AsT8u1RF0rYlU4Xq4ud34/5z+6z2vl
uC5RylCN53t9X+SF1xwYSGGc+Z/3//H1ywPuHPz1Vb2stbWmUTxZPnpVlaOZWq7WEDmglUlTLdgp
aEgO6D117Zp2z0FaKPW+T6HfN5drw2yTbV4eXm4vp9nvmzmDv8AJphM4BdSNmHjxMHLKwaZWcdqd
SL0ut0f1OXKIFw95OwLbMkRzWi58XUJJ8bueUfQaKJMFdHa5kJ4HHY4z8pqRP1I9BrZNxivJcKLr
wpEOwAVLVhm0h3hIg/1EgBvLjz3xariVcustV6VQp8JMFfX/fOhvz0KPNOpbSRj397OKLWG16jh7
yrGBkgfXsPo0LNeWi36RfixXGRPG1rFcZddCBGS5OqsPirE4PparkyX5uH5/F1OpHSpPDhk0AQp0
Zc1egDq/yrL8/uZ/v+f7WwYxy6PlOy73SaUpgU+93P3Hs6JFdbI88vvq8r///kGWpy6348WVstz+
/T9+fytdCVZMAWDx7Kkp2j++//dP8fvH/n74+7v/P9xX5ufEq3UGMNkIHedgmlr2o3For013U2/b
ypoP+kiRrCACMsejuZFGfc2UNwDfETD5MBfPiZLWlMpeU4E9cJTQpmCccW/guGmV7Iat8BdL9HcI
g/V2jhDi1DNqnNLk6YbS5eRkZdZxGz1JpdLplVQHLw7ZwZ6QX4Bwp1XqnWyR8GDjsZSWp/KB+M+c
UWCpDI/ziLynx+KDm47Yu8Ew4YAYD88PXOhmlZiof6ib4cZh4ga2VLvLNE58rrfrRoRBNevTteyS
hs8COqFEiYWGBsVQhWuIwDQOZQnPJ9KHV7OTVCzdH34CwdNTqiICPGsbd9EkjTdLy8iSMZVNB9us
KY/NLrojr3fpXs3lAVLFaQG6Z619LlEQcOiLXyOlTYqin+P0keFSSpRUaVB6pRC0L8gAXA9WdLRr
NqRFiWbUQvyFm8mowo4/FSObbdj/xJi1qXTh7M2AikSC2yls2Ln1DbYnrE+OBjVfFTDyiXMrX7oi
7X2fQma0gNk3xBNbpZCycUlFOKVo391B20mfh/yDhvi2Z8l1M2GhyhvWunVDDgYSZT0hqqJpaNLZ
Q15FGZodh90TAXPfZiW4spXqqlTSK6TyIVgIRFjssveyoWKYu0iyGEleExAQe4E/S1ciLdmEzwTg
k3NK4wkmcd9tKiXeKjBwaTbDlhInl6RuvYuVpothq/eEd/op4UwNagTJgB7FsAfwWCvNV2Vql9ll
AZqzWi2UCkziBBuVHCyiV34Y8YX5I+hAC4NYlNf2fWz7D36VXcOdYPeuCIidEd70Lfl7ZAubGSOZ
oJxB8hxJWexiKxvRloX4ywolMoN3d8W/ek35O1+TGy/XRLnQ5too0GYlQ4tZW61q9GhKk6Zodw7s
XREjUEuVSk3HqaYruZpQmrUctl+Fd022vF8NIyjXNkHyAVyuUWbt1h5pPvgERXbS9DqC9eOtmTDi
SLTs1HbdB1Q5TtP4io5j9aLZPodV2j6ZhRouwRHnKFkcDhrn4iuBHBi5emUqqZxtoper8cwpMhrS
OS1DP1fgoast58NpnXtbCeqqtnypOEStpyHVVyA0cOSqLIs5j8NF1y+oN6a1B7l1ZZtlw7PoIme0
FujrXoOdsF26mGNq3Lll395OxZc+w8CbWroYQDt1JdnzHr2rWmn3Gvx7YOVtCljaz5laOmO+uyyK
DqJiqsFN/HadA1TbA+sD1KvUfgWOP7KWzibA+uco/V997pUM0FZKVAJhLWY+sBillqn4cMDHzTnN
VLVY5vnbUVNpzyGARASIkYjyLxa5ycqWFi46Dk5ljqCQEYjfnKYcd2GuJIalk1zX4G22bpi+lYiR
qIeTUYyoqTPioMxULEI76j6mEiTiZXnJAwZ1G8ADwAkOjPw+VItUEbti5KFZ7PAtpjriRU0SUE6U
jBGo2U84tu0+4Bi11qecHEjHHteW7KK79rpIxttwQO/YA5bH9jgq7SOE6I6Am/4zds2zM8EKMsf4
fYboboNRg50Q0vXn/bUrwOFgXXu2IG8BxEQ2OQ280ObzMGRfVUzC0gdFcSCqXzgab9/qnTIFvxOI
dybu01cBr4Oc66OhFJd0o372SnpZzugvE1sS2LNRYua4MQXNX58pGSLEVy1cx31bZvfDZCABtV17
O4Zdtu2quISlSgo3qdBvGnO1jeV7H45vEj+nwNPZhdmJ+hXzPS0xAUyeRDbTVW6SvWuj86TJm8J0
Pxh66pQCFMDCSQzkpGv6eKU3+hupf41RpWP3GL58ozik0QCFSnggl2befrHS0LXVfM0YJLsHH0hL
FkJakwKcp9KUagbC0l6pSysLialQOlPSAR/VuPUzNKcJvlMiVR0rYYDexIUOPqcqqBGiv2QWolRL
oN2uYrte61hUp4LsXRL/sJVe1SkRrZbt8NG39E50HKytkrHGkdESRaAz9TYwwrwOqtQ7UIeqFCDe
xXIetrHqFDICNE0+nKq129E/ETmOlxkbrO1cZtywUkliI6WLtfHGoi5CEz75u2Z0zr3rutcGjtlG
yWZDpZ0lknNNvRndFChhtmg0IHulqY3x1dLSPHAWrreigxjuoVswk/mFCEm1qhOFJ3RNDNUsGlcj
/dxVjBXXjdWMITV2K4I3q8S5CX+Rts2eGSOUrBnNX2Z5GzqUoUBVjRtpTxwKn2E4ntv3KkqebPy8
sJzrk1TKXkPJe9muXjNaRkAujG6swbjYkVHswcHlhXHrz023KUQCoEuT21mAZQu70GBMkINxRPew
H6ynTqmE+4jzMgWEexvLsKd0w6kSD1dKQdwUiUWZR7u3SwLhOaMiw0Cqr+9yggolw5UykSszEvp+
7tpbPB3QREi1S8zHMQZkWeoUq/mT5R4DikqSHChdsqG8yQUC5bJEpWzjVA6Y3VeKZVZ++Hc876lC
FQXp/9aL6/ZcDvaHilIYVUMwNo7XcUeuHzncSkbInN0erXNgIHiOu+DTiORjP/M6guBgyi9gsIHz
mMphtPlG1KxgB/PecKyTg0N6xiVtKqm0ThRsW7WIphlAU9aZj6wcS6bpm5GpomFF8ZdJGjzVjPvH
FFFZAlo4rPUJmbVEKjpY3j7xyT47ZfiLPQdVfDvsxUujFfeQMVBb2/Gk+K23enyCtbAflUDbXFTa
Oliy1LR2VT9ieKYgGPGpayAWV7bjU/ZEyS3tUCe6Mj2y2XtgHi+9GkFOjOQEcq2QHM3FJVLbkDm/
d9h1blLc34aSgE9WdWcA5ztr9ORp7Z/bBA2B0VT9WvdMoqQ0Re/E0FBrxicOeHBczyGO8QbZOCVx
slcpq1uPnaL2Q6NVSitbNkw1MDdRpv6OalNxG8bCu5mY0uhK8cbhqF5ZLOZ39D/FNuulcT1Ae2h0
/cQUR7uNjVBypi1owWYxHZhx603kU0tzYnBqkreepedbnRHaDTVwLBNxRRecyuTBdpNkh23HBHoY
Fnl5ntr0i5xjTCOYLoLeF59lYv+Erz+tMo+QN7ljqsaZLm9GOW7T8bFgSQi5q3K3btYfq1GP1mA0
5oPFoYEDotDvoAReRUi8b/C1H5n92PjZKLYsk0DpDAht2cOuc6e9Tu2oYe9FMKUcKFAKj5y4prfx
fujiTRLbzXE0mmRv4XGnk13RIZfMTMBi6MwYDTGdG84dH72bw0fNOCrD/fHJbARXCbEMFlrRV9xe
ksLY5ZxfWUYGByev7i33wROG8Rg0Blbusd0JH8q0BR2trl/bgcJ535kKCc2Ar2fdMWT/Qop9QwHv
zvBREJSoRLfSAGYlWxGQK5zvSyi0DKIR+9V5xaeIXLkBMoQpkv6QyfMAF2nleDrFZHlP6FRnUAI1
hSdPXg+sy87N245G57rT5adT4DoefJQWWc9dWgCDCKzks++pfUFgbsmLEgAh+ENerH3rQzpzYK67
jVfpLGHoixH4ynvyITiOSVp32eOUNzCV4vynVXjGJmfWif0Y5jEj1iDM1yZlu19mlHe72gnkpkv7
UzyJQ9kwL994dAdTAm4HIyB3mHgV/DORbNnlEPHukx29xUvm8j9npVOtRUt8bLRudNIQrLrSLalG
FM6KcMuw4lvPsX9t9TFgxNR9bbqk54DnkyBkisto+ndXdo/Ege9s+LWynqkxMBS0DmZy2DDkrUm+
T0XOb2eKlyFndkj3dFJxNTaTmdG0JEJYY/TjlkLa2VNz2LSYKOlTAMp9cWR0WP2W5ip0kpug2nsD
g2FtPpzK8xDHHw75d8b0SFI75vOYjF8NU9AM6Dk7Nxx+2RO8sVT9AUEC8Ddj22aDksWdtRtFiZCK
88eUi5d0NvaVN/wCvPRkRlCZQ3vPsv49SCMm1gWL5UK493qLX0CTjykENzfTulPn9PuidKZNMe+c
FJ+Ww7QU6D5F97TkpQzHUxkEZI29d3MmuluNodjOFTn/mIn0Z0LLLeNzpXHV62ZFi7KW586+pjUU
btwZ4k405086iPN+Rp/Dn8zaTNl0w96FSpCjMQW47TgKC8o1etc/zwwyXrNLAYo+wOjkJasm5geL
xgYg3n3St/0CsK0eovAYEl13CEVzlPhZ0zzbVbm1N4aw5oOBba4THLUDaLOcnxkN1AZOoqG/Seis
Aw6itSCcAZR9/eyG+rDbgGPy7/n0QA9N2aUQ1Jt8GnpZ/FOfI7x0ufNKeKWFurIu0tbbiPjDa8CK
wqbbth4ZSkm7ehUPTPkXM/Adg2Ji25RfQAZgWkcTOeHpwyg6c10PUH0C9QPoQ3EwoqZfNUSIa+1H
H0qFh/WuWSO8WJ310DDWQSL+zjfiG6jskCeTkFJqTqgSHnrdcX5iI1/3FlMKcfQUeoxvV6XYQRD1
0Zl2CkgQsUOOwlthlsYexjjrvki5erIe9rjIAY+iCVy1HNUmw1wr8JGVgasDCGKteolNj5eCkp7e
gf5zOmK99G4ihYTWp7JfxYw0XaVUGGIHg1/mje9W3b76MCNzwmD0yJgwz8bkGVxBZBqvIejBVdcy
tlNMnJ3hOcSD0V6DC0fsRKNEuhcTJu25YiSXqFuwIk5Bglk/U31i+r9GVpS1en09MJZh92h+Jie4
NOMp8wnTDab5AVqnIbo29OgKKOWlnJGnytsZnQ5ZKk2/QEXSmARCFHgoYVsrCrcRKGwUHiMBtImR
4LwzqCRO3ibTynLXO/ey1J768UtEVL1d42l0AC9CDX5TqSTP5SxnDTlrPu8QZOwW6RORSOII4IX8
/02WxGuaX8eo8q6dSq/X0GSNqwJEk9ezUq0Tm5UDoVFZVvHaIPZGENcDp9veRhpNwTq1OTwkYPdR
m/f6hxEGzZ7pmZrRP458/MyR5Zfbmp65wXK0EfpF7VGZ68RzESB4c10FJ9XlS98jInN1Y5eATycm
67D8dmtsG4y+d3q81cZs04uw2hqzeGKo7KvLyy+VKXGwnw1FyUjuE2cElrx1/ByRmdyYMRReiM+2
A1gMOsuqZzDw4sWfdpbfOvnsHAk2EfBk3clYygShybroLfouFJgr6YKLGAJ9ZTzn2DglWwEOxnOx
MbroUxvCeFenB8nunhRv9chJ82JV852HIWCdby31dwL+IdbjYPE7gkFYDzUaxTnk3aJHkNe82Nxi
sVkNuri3RuO1TNQUCfEXyz1WiZsQMfYeIgrQK9++pA4RgwyWehxGt9TjmNAdU4AFtE+JWdTt+OhO
yWM8zPdSxndhPB3jDkNBm++a5tpJzdeSXyEYwrVXf1aQTsJRu22Z32gt7UqqrHUxezu1MZ17tDgC
Nw4L+RsrDd/NwHpiAgdo44wsNKm/kshD/sMuYcg7f+doTz4qy8rRLwOuADymKo6GWX7t1C5TwMOd
yV/LCuwtA9p6ZD9gWX6sbZkcjFeaCmTqUt6QDOImQ77rct4xmElhPMML7GaE6nrzNnsejPCaEoJx
0Y38q2/Fm9X3H0XxMbYB4WkaHLkePNFGuquRludu8WXyw2Zz9RUSfM2c8rEYiOFTsWSwo/A+BO/n
fZv2rwULbEwUHJKSeoKo2JXvWdIcm8Z7KDAw+HZGoUAe7anYZGb14DjJuWn1F89oH6Cb7yIid5vS
D+58yVgvOY6v1E/vRPg8AiY0W+0q6pJjr2eflU5XqVEjrlq/IzLirQHv2LtmqHMmi5nwMo36RYtv
qzl+Tbv2Vx5eWyC891VVEUnu/EvJaE6JICEwCCxoFiM0zpdj5O06tFWxyrSuh8Es1/TQqCKx0iZ3
TqDzFHQvlt0yfPajkaF2zLvpTgvYCnpMQGbx/Rzv/yvQV9AHnP7TQB9Vzv9roK/5BbTq3+N8y5f8
FeczDPcftusKgta+S6bP/lucz7T/4biO43q64XL4c8js/RXns91/mKCSHAKATO45luBnIKOgkn6K
wSWE7XmWz5i+7RLP+2fa8C+KVPvH7b9TpQzhKpTW31BbumNb/AhgpQDCOb5uQhX7O5kphRydjr2I
b4vgzdfr9lSodrYLlIOC7HSYMqAdZf+/2TuTJTmVLYt+EWX0ONPo+8g+pTvBlCkJcPoe5+trgV7d
fO8OyuoDaiCMiFQ2EUHj55y9136LrCo40ahu6d8nr2KMf4Z6REQjdq61P6sbvjZiETdIa85kNAjl
tMACoQ1aNjXj1rYq6G95DrUp8ujihPqX2+SoXdOwM5lRsilmc9WUSXPT4lijxqyOrmEQshwhaZYw
EfbuOEHyCSPkRkk/UH6TNtdZ/Tmw7E9JktBD1aXtDsnHWy6wj08ODiCGLFii6nBQD11VxY+JyI4k
Fd+MUYiL2WRXp0tq6PnWR+xGpzKYtHNoI7epNLIMgbbSLFtmSfWsAVn2unna5prjWznQY6oKl15K
Xu6d1LklvZ4wUSGCsW9oro7BJ5gj9zSm2BuLEnB8DNz4ZIvRoNMTu2CKu11u0FAq543fjxaD4h8D
ZttzRVW1qfEBrkNejSZPzqwasOYNra3iz8Nlz8hnlin90GD+DPLQ1Q4YFlc97sczAEni4Duwy3lv
bL4GXj4NrANry1WbwGJYLy9O57fhrivTbT+08Za2wMtgyYuM9PSslEnkbkHCmlkn3kl0kbNhBX6n
cp1N21ioUVAYECBXemimhPpE+Ad6vW+YGrrNZkAV381qobh1jyFZ0LTKc2LPDOIPoSC45mocvPoc
TJYJeqSiPxmKnZmF3l73euNo+f/+1v/jk/j6dIo4sQkK6H5bwMt1VvIHBrmIqcRYbnEsoveYN2iS
6q0onF86Hpo58Lk5EZRW77vKqU/ufDIse1+bUYsaRAJFsLcVWT/8+tOyWV7QPx4y6yHjfUKuWpuA
LqJZRbFOZgHAn90JOsCQUm/HhvndnmcPNOWY6857Xw9x5/EFr4ZygYR0+eC5Z/zrM18efh0My96k
RuYdDi2n5YxcTkZvyqloo1l/tDy5HB2DdL5ZGQ3IZby6vHVfm6/niKtm2CJPMHDyUzifyOmij7Bm
aYQxb5avpNOAH6cc8ETO0oLk7804iwKW8zxb5AZNQhHveGAvzB6HXm3NNkJjnsL/2+MUJq5qHwmu
hiAs5lFyxCifkjj9ESZ6RwxhgdJLE0jlARudgAhO+HPZLA+XjemjqbIBGa8onySiDRr2+7LPkwNi
NgvIN4MNenGIdhYNMr4DdtE45ft8bM/1ELyLgj5TYeobL+60E4S7FyUm9PqL1G/5o+xtG8fpSZ9P
tuUJY74SLhvr773loQ9iZQ9SYW94fAhq/gbcOOaegv7KDWIDUcw4Jm1YnElNmftBWrjVwHnyutno
mqYwyQ7xbrLHb3FW+6dYi6KTPb3yzpIBH5J1dgosNn3kd/j1yX0JIoehUxuea89+gT8AFn1+Ixc6
RJSx/BxdM9uM8/x/+UIfy6z65ul+dVSYp4ybMcgXpVqYiYbebJLpsfErnDiDjfetb25yGj9aAm/W
ljYQL9JfYIvUq/lOt8ab9TP2jfRIh9DYVRmphEH9nAo9PkBgedPt6uCLAUNd7v+A/I34cMge/V1H
/OEpzvTLkMXpLq/4H1Xc0q4vJlKNIRU2Kr2Wglw2MY7fR3KejTH5HtqFf7QAz6MjEhMdVfLeQJCc
snG8WzVzUaPTvweKBVZhgHUk8/QWm0W4K6RIEJt2DIL6uNmHvDoWxyWRPsoNNzm6J6KOL2lJ9CQn
ESml8ANRmmVOmF1nvx9Nh+lM7Yn2146PqiUdp8LAFzUGhTz4Yj0DIz1ISJCK0B/DEeMBn9x5kkN3
KsVM3Rqj5uwn6m2sGc4qSRyxiPKfCSCpOTHpU0MRdZpKw9tagiycsWmQK/WPgdCiren3rzHl/b6U
6q5JQSqQGvodpBCq8JRwVYrvu4Ub7uw1TkauvQAujRg9nWiRZZm7dQhWpRiWzPvtFpFKcdZq30LA
RhyEMzbVvukYyVpN0G6duDM34XAvQnSzjk0UFjnya2Q0xFqMk1z3TsyAg4yfdSqFwTW8sPBKWdbO
gmcMdin5pYxJ34e+eulowKTgWV5SOKJbiAG7trA8kHetRZUyYdai+ewbJp1aGZS7quSHqiZ9aCcH
CLiXj2czTzTwNBHfHP6MVOreRKqlxOaWNJOC7HUsSVdJPGnskEv8VcgyZF2unXJrAS5CLFYpEVot
kVITcx5Nq7Vbh6iMwompaJf1zqonguYZTXoDR7RTm5CZFVEVxlWUoFYygwAhfMzVR4osZ6EprGKr
S7HRku8liNDDEB514H503EmEUBSEZeh6/DMJI0Y6KBvAMmpX5ghrQ1Vq3XM/P7QjJ1CfR6RK9+VG
n2AP9iBUjrCaFJWUvzUTV7vyx/z0bAVIziRoC09FY08/jdx68LLgMS+9a5Lynrp68Rfzzu8o3KCP
+9ehyE62x3kL4RwlkwxvgxWJg5l6NMU5VfFktJhfIzqAQXchOcp5nbxA2ykC7U0Cdo4uCKREUe6Q
FdvVI+GpNsFgqS53poQuPESIwjo7eitc/zM1JbcTHVm10B3tRpB7lxVy76k5g9Eg7YaZLVaraCSu
RnUP/qwP6H2HxMp++AyRDxMIFMjDlCKsaY+Ra7wPjW5uSs3+TtV+GvClIFt8bWMoBZCYfsMEcx7z
+qVW0QUyDrE6IbziOiEfhHWpecqJeXNtwjkbCytz4CTZtoSrr5njwwyV4g99iOOwWzfIEq5yNhaq
8Nhk7i+yjr5NZWiu3Uq/WDrJaLbe1+QklJs4sm9YldsdkzofJkCnwfzStWsWDECj0visW9XvsmCO
X/d6tCtSV2MUrZEWTWeGtmK1pQr9AL1wl5pf7Ua9ugKOkNuij9z1mBiXthtvBHoxvsiTR9NjnK+n
hEr27YvdbawmujO1r88Rweu1l9FPdAoEC0lvrBKjmThUkDDXAt8zl37yk0l231YlbbR+bN6HZOo2
5Z20YNJZXaZiavbMuE1K7nCnXcVMX3P+ArUUnOuAsGMngp6kc9a3pOlwq00eBo+lDIFbtPpZeefN
B13+dOcxYJzyZkfM57cojFmJTzRxUwTHoGLfI4H8u4vRl042IpNo6A5dqZ+1EQShb/v407TqZ86Y
8cgbAd9O3kunXfmYnh8mkTHfXEeedGi440OZSm5HGI9WKNjwjhejgjIT+qfFQGqVYmVyxz4rmHxc
nrob99JwXXYPNXoLhhMkx5u5yRurgK26c3yHHhcHL5aUOTp57CgNAzmznRg3UJzM65Pl8bIHar36
83CYuZNKY0k2ly/LhrUp2pG/H3JLJMK8yd9Gm/Zyn+USuHxOoM4gIfnNi6hlM8xro388LLrROYYj
cnvWewQPGyjA1LNl1TpCpxID0tDEZ69jYFNWcUW2H0sJ8HcpVRI9b2ba9T6ysT0QYWoVOrEFfqO2
mMNZ3DAD3XVp9LmIv+NZK76oxJeNHEdWwIJlEAzPYJNVGfJx25EzVpfhw2x9yK2gPaXzxmCgtY+j
+FLbAD5oKf5IQk1tLRz18dD3++Xp2ogZx5r9IdPdlVVUpNyE6C+pMTBc6E67cSwSSTTIjSchzJ8K
e9RWIHpnNRiXDtb8UwcT6d827bwqN8MMIZrlY1v5H+X0IprOCJte+wvmoALHtQimW9tROplBPPbT
QO2SzLsvMlyyQVBBLLuL3HaR5S4PCVDNThgQ5pX9kLT4uDHSVCeuXQg/dBaG3bAnsmm6EZl3DmLb
eHas4o3xc3/gLkKnctSJD+mr62Rn9osdBmvAT4CmCg7uwtDuTPx/dpFFdgEWMqaQHcyGEtVa0ErS
x+cNHJdfU+qmu4Uoog0ZOM6a+miKECxtSPXT9lGg/xXnM4/A/YxDwAe2gouFOt4hU51DBDR4Ras2
c+9Grw5Bznohj9wfHVT9SwVOJY3i8Jb7JaVphiAt0cjQdV1mgk1t/hgpubyhKZ4YZmblM7nYYFXq
d6OV4YsrNA8GGZHOVOPaynZyh7QfN6EEBiZm978VboZra7TEb6ZosJK5XtQt097aDh4n3zPqe9SF
9X1wiUMHPIRKQDpnjjzGmBGXTDc2cs7KYnIhFzjhxtai8Wr66nFMm2vpFjc+CIZ0qSMfbOMXrbTk
ZldHCbcfmHHpbqxc1rSmU8QUE0L0DArrrvHJtK/AZN/lFA07wyUAKTEAVBTj+Jh1FlLjsbr2Q0b9
zwFDA5ZRTFktjMZxq+sThqUwq48jkKMgt+ubr+Lm1hUwkUoas+hbYnltXOwN+lD/chRNAz8kpHLd
VlOL6QpZ6KjshyYWBRDqAcGhRiWTNfzpjkW+BzzlA0Oyk8v6HsyEPp25KsD3AlAJs5too9Q04Yg0
PytS7CAD4iki0nyn9WSfFBVmbxX3nOWGehiAsQJLf4gYnB8V0hDyq5xHOUYEEiTjj9oP/9JyZT20
qupvuV2uoYZpV0e3AtK1mX5jVSPxGQeDosZ6tHQmO8oZmZ0GBOCajD6MPD3nTs96TqxzbDzoOV2S
mK3BoifOlUoiWF93llHdCS12vfhOC+6CRcy+SVM768goD/aYfbYWxnM1I3UiIeXNFExB8i4FrFSF
+aHnJj2woWpWF280Tzorim0PNX091YZxrNNvSkjKk4LPNcXMtYk6qITdEJibqJHNpuUVAVxrPA6u
st9HkfDhgvPXxKzgcy4z+2ZS1prRIK8UyxljkOJk0nQ4dJV8L1wK2SlpLy4xDUnwiHriCau9ceDH
ApALoY8KcKy2VoNrKBLCJqthC+wquZsxfKg4CC6C2BfoqvaJfvIjfebhUufecFn2KFHMNdlU+oaM
oXyfUlGT1CdL6h4w3wMjaKq+qxaBxlNIvOSsKgl0ee59ekBaIWfrvG2cCoRmdhHj5cYQszJcb9hJ
oEhy6Ld6xQTcdP2TnVXuc5J00ROyidV7lTh7pDyzE03fJ3ONo4XyDodqBDxEA75/jcZAf9Lz713L
+QXsmaSZTL/1bhFsuboS4V5/GOhO19gsWrRvOt5SM5tgxc2Mh75jTTYY6b1B9HUXJY6/tPkY9HBW
C1v1EXJW+EK6GsmkCGmqmh+RyuLnYMBMFy6w3IjhE/QHNGN1cdNtZy8RuK2iumrPRdv+8FLDuvid
xDzVYc2ThsOnmgZMjZymOziF9rMrPbXrbKRreu6+JXXRI+SXz13r1zcjcqCc2egf5mtsMzVPIdKE
oxY6w82QGeW9wgICn/DU5vVaLzJ1snWiT6cuQr4tDKiyQ3jtyBKyiMV6iCwd6En9vQkMbG9ifPQE
Q4y44Aic0/+6Ei6Q0xKfpWy6EGjltZVKR/iqnv/KhSY9Ahc9UgJ/lk6dXlWI7rF1vXEXpK23P04Y
5raoDsSmGMyTKaJulwoQGxmpqnyyMfnlxbcExy5LzBbhqGncifk2cPT11oausYviEueT5iaoliJc
hqVZ38dp6J7mbup4ILzR+2zdYd8SFM85hTPBrWA5FTBoYsLWwvzDHnSd06E/IPo3TqPxwRJjOCS5
wtDoOHD0I0IEXAH0oGuqXZ4wpdficY/R7+Cn3i/Jsv3VZnXfgQ1cM090saCCzMyqg8rVD+mlDpQL
TiW3hyBrM9jjtmIGr8k1852jjN301ieF88jyGtJFnUhikwkumkEODEX83w0BBoQ4tS1LXRTnnuuA
W9YCQXAKC+zOyF8qQkfVBGpSRANy0dEUTKGQSo4xLJ7GZAE7uazmF4tNBbB6N9TmbVmKMQUFVOq0
yBCL5o1sI3cT1YVx8h3rteI6bYNlRG7YebQawmFVdWGCMrK4MDkML84wwptWNGNYrLctfWsnEAV6
BHSEJmxAMyDzKp6yfdilnyMRvJtM9YDCzTeY3e3Z0uyzL7sWTolZAaonCxBOxFEAHXrp9G7WIP6w
hyk6DykCkJLEay5j+Hf7CWAm2sOrTzglXldI9FmELxg0COO1cw4G7Mqwu+wLj4VvQPi16NVziPAs
aYAo04qC0IGQc1s0Aeq8OI1uqcPa27OnZOdTvlaxvqoNQsC6Mvtd67jIkLYOP5y6fIqTMts6FdmA
pPWi9ByDl0klFm1NjXAlMBNXn2H11vH1CyIYYhY9LTpOLH/QDfhUreYzldRvAqPHi9cgSKZibODb
EwTUmrRNiLGBSrmF4BJvwgSsSSQKXFItjY7OJHu6tOPx3CHZ8mskW/AK8lf0YuO9s4K7C6dDyu7d
7iR3timtV61oPkWSEqTGVfKmtRGdKHJGznlDFKZu949VjQ5ZQ4/EFcYO9k5SE5he1jQ5G+OJSPtV
SCDqhXSSd5X6rBGr2YmusfGCojpnOsrg3tZwGKXTPDlNuB+O4L0idDEM+lLtEjo6GcB+UxMXMhxK
A3F+Ph+wVg2E1x63uVsSgOY3EHfz8pteifpSDDI6e/z1o+YVa5RfJu6k0jikU/AjC8vyVXEixj3z
wcjxxyetghRcauGzDECgQJ7ZZDnzD0MiSJoaUewdgenRbzsipgZ7k1LabjM9JB6NG802QnDOyAK8
VsKI+zD4eX+OanwS3Oa1TdBa5jWefwtjTMzxxsSNFHHGRjBmTzKJVbl1jBeLcfbGHZthLRjWUD5U
yKvkU+Hm/jbnl65F35jIUlihJlVxE+FtJP30XCc1eVRVmh5bMocMDd+vP/ABeD40wiFEuMUsmhsA
JfZaKK07xiYc+DBKrzQm9oMNqoFhfHPGTdfu7KaHO0A0AaMgzzi2bvGJJRnWdy/afaA5QKN9WhLE
hocHVkU7zPi8IxN64HgStI7Nvjw6haBeI7x4Qw+y33iDRihdruX75Y02IngUhqFuWoWkyQr0s1ey
DqY8Q4qzm/J4Z8tKHFqIBUHs1Y+GTuoscaKHeHBodf2l2X61zkXxopMvenBCSzvJEJmsMttrkQ3f
+3QyuMqieQ5Gm45i1k3ga2mjXoYm+WZXI5aIbLIuQZb5+0plH22W1EhJfA8al57Sj8yZnFj5JXZZ
XAA6r+El1PI8q1MNrYQ3NzKxPCaI6I6OztCpkHfuyeFZtEF6dTMbjVJS3Fq93Vm8sn05xhSGTvgU
0Nu85kg34uEbGWLDRSQkN7qBVW1t0bqn1PMp0grtyZHSOy8bUfeSH0eMvG7Z2d0pSzgdA2w7EbKE
JCCq3pP/5V3ROOZXXrboYu1uS/e742BvDOZHrSe/jxwPZ4r6ngY+14LBct8zIulv2CkKxI4mUDSi
smXcwgykZt16ybgtTTU85fNm9Ilyzbsnv6dShW5dEzgHTdzvzraDKoziwbxoHqqFqUJynaSyOk+x
IY+FnwybPDUeTARsz4iyONaJBNjE44Tsy57jRPjg1lFTeketk2Id6/audBhY9gBI97Fg7epz7VpX
XSABh0x3LCrGoSjGD7uv4oPJh3rLSVzRMhWTq92JNXpsg5/afQ6jYz8Cxtj43JKfe9BhUarfNHRv
N2re40TA06VCrY6bh8V5erQLp7n7BlGNdYlSMG+6Ow1CqF2IR+hv28nZzVk2OjRuU4WwXtQbhAfc
DChNIRQnmzxx6mOZcRHOUOld/ZGKhY7Tg2g5iCz0uCwzL12dV1eP1mHsYHRLS+tlcMxzWVdir8kw
PoYCwZ5ZtQxPKj+5A6y6g/brSWuW+ybxB0LYixisck6fBov0YKNdlcxXGwOfMANMf0WYCU3mjBFP
i9R5axS5tZ2tsFw/fM7rHiO7rH/p0q32fi4+SCo5DU2fkdKErWyQ5NPBueq2Tj3dakBv6wmd1Tqi
Ob0qmQ/v1TiSf5hyq5eUTbshg91EKnC5i7VyLyoko5EZdm+ZU186zbWOlse8eVJeuVcZskw9HaKz
k7ZPusDD1Rctf+vIMr0U3UsZ+OJCA/clNLiXIO5h1hujZ3Y77+jNJgXCst1Zt0zNzcHRUb2R9rHP
HHq7xlTBdjKxl7WVeMQ/VxwGBx+Dpmk2/lqHVU9HR6kyml9WOBbnvPKIc3GKQyzzrTVTQ5quec/d
4jsaOTjPavjRdaxsxSi3y+voRIWJePLehyifY2DD9DAY3Wsk+m4bFRAtVXufgjd3tEPU/9XEJdCl
QewzuUVMi4a+tV/K5GzY+vgNiTkxhbUNYcvp/sz4lmnfMvz7mvt9PQfL74WAQfIiYGpwPZt7SeU8
iO0aosoDRqNFZK8ngZeW4VO+0fwu5UqAWWYBRRi5nq1Tb9YgLI9lQxqizMIjzUN4qj6yR4t8y40x
RCzfbXskI9NPt7Edz/n04WOIyowIWRlvlrl9O4/xWUMRMVxHaMBjpAl69iOzREdbVjv49V3WSBXC
2QM8zDwFeMAeTOqS3BGXPFgSjyGXkjNEbieuuWUTpfIWtG2812jVnBoFvMMeObgzplikoMDjZknz
yMlSr4CtvTkAu6hZYvRi1DLFWaYGWMAMIqruC9oYrlGWRFKpFUxKdUxnyG1okUEqZ86Hp+n1yV8E
bhM2K/qgr4bUSDmQKGN9sDlkMsEEiSM8qpQg4C7mV7Js/Plb07nJ9/WcZplyl6ji9R9z6MBilZRQ
jTgzMWB55cteUWJD/3q47HmlkpvaYpJEecgqeCZZLHvi773lYTS/YYVpvkxtdYuqzFpn5Qg/IezT
rXIiXIfzxofcjwkOqGBv191p2TjcvY4Tzgwxu6snYFgY5efdEpvQn83ycDJZjEpZ+NC0x0svEnVu
wklnHcCbMf9tuGs5+jaLDCNZRAoJV2e66gyNmVaw4JXWnCYion1T6t8MZWm4qmiawsZuTsnSL2UN
0px8z3mDJkFiCZPlUzbDXJa9ZN6L8tSBQUGG8fxFBonjMfLe2vnlFLH816ZdeC49dr9+7ggvShlS
3U8Q7slj0Ep/NbkEmwmaZjnCbIIYgUh9bXqruHRA5Pd9lKAacfqYumruCDMcNLa+JRMiyVzaiHQy
49F+IN7S2P2/QOz/JBBzXPN/Jb49/MqpHdL+Rx7/J/Xtzzf+Sybm2f/l+lC0fTTLGNn+nfq2RDXi
zODLNG0cy/i3PEYTmZjv4h79H1jc3zIxy/8vjwuJSxIjJHp3ZsX9Qxb2v8rETN37T5mYTaA2I1uP
JartIWrj5/2HTCwFGD5lpa4OY1oyHUWWEWTymRi3AhwrbUvX34UaGX6wWXam7hK8Y9rNLhP6uuEM
OPiVlz6VDBKaWYvfDvben9p668bQODKXBANvRCLqksp2KbzmcfBhrWdaC1grIgFAcFeILlnvCiKT
cDdkHf8siO6hNT6NA2Mb33jPA0BpQTxxh0U7yc8C7iks7WamUXuyCVR3gofiQ9Z9zIQQS6ZDzTsN
fnTg+uhucXNHICZtuWmqpNzYMEj3ykPc1iThu2+lLMbmm1zn45uqB1ee8Rm+yuiJRQhLAp82Yyvp
lpje9wiT3d5gxaea8PfQ4NW00B6gW2e9VfoXu4BpyqVBW2lpipYmwvU7rwOyPtXRqFl04UFWrfQ8
IKojZlqVgmwmpchQmwkDyVpnbnb0zPqDMd3viPneprC0VwKn4AVISstOERPRp+KY0SCmi25eycIh
kUYS6BvbzTWxrsOIHz/BZJ5HsN2s3B9oxkzjht6ZOBKFHa1ZElfHydQZo/lJfFMReV0SUHvh9leI
B+3ZcD+aqEkuVm9fLc3yELFA0R9Zdm1rlvZ7WKdgzt2KSnX0kt1Mm7fpO6w9hXxAlSnI3hYvb6/b
IG5nc6wl43fbpKcXjaoltVFSopYRWe1Thq3Ma14Y/Z37epgwMYtDBCRW0DnVtfYzMIofNbQe8F8u
7UyP4sLGD+K5COm1mVDfNu11SlPtCKH07hTI5b04Mm/EoK/Gwv7uGVl756Z+gYRUnrWenhmDigNX
eRKgJrG3Ck29BCQ9r5pRroFN+2c1OR55U/UxDQVMiy54pS7J1i5xotsGDMlWcSnfkS2AHDxhhmoS
0EWhU6GicW0GYsIcD11aUPx4g7Ovop81HFsGlrT4sqZHI5TtnFz7hQS/WSfjNCM9+VIYWk8os6NB
846SahTkPj76hli6YKC3qLupceFb8Pq2HCdYAoa1p1Hlg8p+6HpwtsNodsep7PGz995fLVbBgz4C
JyWaM9w2VQtasNW/jQjQCJE0qUGYi2Cn/jnkAd8yNs++W4hN2AR/wddCmp0/T5HBEZfHV1vg/RwY
R+dJ4m5Rmeobo7e+Ieh5bibUQ0DZ0PA0SLADgrHrtGz2hXKvxY94ctWqH8l4V+azivXsEObDo68x
TTGqA3JAc9OoLNyncfCCuP2XiH0CEUdybCxHHQ1p7r0qeVYuuIys1edcovx3BvN+arD4R1Ngcbyg
9de9nTDC+uLAj1gJ0jvWecN1C6TamT/WeuRd/oglS5KcTHfusd02Nb2Pyiv2GO6qu+X7L7VRXxp0
LRvUtHJD76A9t8mrn9SXIdD3dok2qHWn7HEm6hPrDCtjNY0QGZSLIiTWtdVQtmBCmO/OHjJCr6ZJ
fgsqA3I4PHTIB/lU7jqayQg8AogP9jkQxJdgITZWY0IBqir7w0KYezIgluVjX+0HGg0wgIkZdEz/
JYeviJIuhimSMJ3XaVmjrAFeUXEuVQa0kFnrMKX9jo4N8Rnw7soxyg7ED2hM77z9MMWHhnFCqPaY
cf38NTUb/1hkFRbfc9JV+wiTrqZzfXD8vQ2B+1Cb0yZm0bTNRPXNEQPyztSq9kUOtEG33osUmXur
uhjHsIoOA2Bq8vQcBi1jAuC3DzYMs2md4MLf9s1RVbnHsMBp3gg2WetD+9I6LkG/gwgPuJYlFtXo
3FdGsHatmVloP3q9uRuKQa3LEPN5IRXZhyiESZEVT9+mlMydBObldhJH1bdISZmQjjpRQyM+BmXp
Ca7akzWDlHIfOpZ1GoYEY69qMY0h6bwmbuwyTvokQGMOe7c2viKoyM+8T813AFJlwV4z6bj2tW5u
m9Ym1DAhuw1dr+YyO/Ccn3ZmPOkAFVYsLbVtTVnpuhM44CL+mFoyMLo4f29REZorTXpwqkODAHfc
lG0AwzE4eBhv9D6utq0V7YGtgReibxAWAJV9EiA1mnUrR05cYdqNFVq/Kzd/SxwuGMy1cHbUmCcZ
3O4MQY3SOTrubT+9BlPyZBaKQ6E1/XVQW8+WGTP7pGJXVdUdNHIAVixE9r1OQB2ZzJuyseQsHd45
5Mgqa3aD0u8pAakWhbIAZt7aPqB1yuAcgcva8jmI5ghH3/hegXPYjo2KdgigZjxzf2yh5JwiE/CD
Q29wSMWzXhgtPm8TH2A729n0/jihCdhZpcetOLWxuKAtxa8ao01YhW6xr6hT1m4QPtbGdMzNaEt4
HkPi6cgozVgpponrKIj/6hlWXOkbghZIeClOB8UbtsGqoqkR+tYt83OidRL4sYZB1oBPee63gpT2
YfgUfQVsQuxRov0ACf/qKx/gX4WB2MnGk46VJqnUZ6KJcNNaIQUfAW2Gb2/aMIFm7x3p07rrynmP
lfh0oszYdPVbIzQIB+2DYQ/vITSqjawa5HsXLgrBrJU5ty42Tf7ANodUb3dXzZ6F2O5M80/cY5xy
k/X6dptzLVh3ASiJplXbNoBOzWpjn5bBMe6PTl35IEhRrgvVfOAzymI6CAmadpzaF6OsWI5Q3ncm
KdBZSyBp378litC1eBTAVDm4mNCSrAVPX0IzWqMAOoZF8V53dGhqrm5rD1Z9bDSvvk/D1lLJT0bo
Yjdq1r3M+9eJshnNE7pUn87wMHrmOWzJsIFuJqKQqJCy5HPvWK9UgHjS9CnHQJhXFTwYF5FGPgJE
dNELkhKYihebPKkV59w+0NXWjVAYWxFHn53UyB2JxWU4aSE8zRwYS52L1h+b/UlnDBAKfbAO3Nkx
bM5orGUztE626iCabxNYsSW9e4y0uHwJph7GUz2XtF+b5bkFkbc8xwHAktPtEy7g9CrSvzeLdKTW
OWW1cKf+FvXEi8dheczJmR4xeDOIpuYO5up76l0ohCWA2yAu1FGWz1nS2YTL4ZZbWJsLdXPZJA1s
0C8Ip1MO7mZ5IdqiRQ4W/8UsBFqgpKrNjzNBZ788L+YvLnvLZvkfTVd9Qgxutl9PLXv+/DP+/Mxl
d/nPRhlwlyxVUh5l9bGAGYv+OYx1/+iCAdgzJb9F8GAo4RHEnJb/4E1Kp+1JJqZjozxfREpiEaH/
+RXz7wk6ifuOe9aaOIkcBhtOhjrzQO8tu8uTX5t/PLf8xH88F0BfyxqrPvzj+a+HIiAwR0pG2MRn
JsgeiSQsZwnTIlhaBF6lS8QZ8lWetKnr01L520Wm9fWxLnC7FKMv7LxFDz/O/Nvl6+44vGVoGLf5
8pzuhcWhsQkR/PuYWPb+8QPrWRLvzpL4BUH3tVlUZQuhbnkuRsqLOT1Vqy++XrIcY8sP/LNLaPH7
nOi+XYCE3dzjWvaSRbWftgTat1b38w81kUEY2uuBs9XNcQ+rWQzuFukxNBrprDyJavLPxxaG0Bz+
tb+899Llas7gBxRAPvJOLJDLRYm17H2ps4b2yoBQP5qTPbNeZzvDn91Fl5WKcO/AduZlte/LabRs
PE/yKZTzGcUkVm0Eo0IQHoQ90emrgcVyEilFM2t5uOwx9qghhspKXy+P/V6SQaG32yAnYsAqi++a
LxDmEnO3GnkG7lH9wNOIP8v6hdFsXnMpMVuyGqoAfcQ0PhnNxVZ18iRiZ+/Uwbc6QJ/uaUO8rVhK
E/JU1bvSCxhOt3A57PIlLywiBEX2mFuQThyYavuoUNwuOxRfXC8p5sg92RbTvPIwcbTaDtzBCDPS
qhKpPDST+2kahjz0HVommFj0gz1oIxK1QZcaGz+2xJo8H3k0RlYRYaIdRdPFdCOb5DzM1l+jD7Kb
aRbcIUnQ3KC56IhZQKEVeDhfnbC86yh6XEc3z93Yf+/NeUhVEsEZhXWzlalpbapQIega8t+c4S+o
vctj7VOXaVocHTpdT3cZRINNSswqkpyHtmHkGbhueFQaIb++CNb41/Bph318My1WhKjXGJEuhMHE
bCtiUyg1y9k4lc1XZSRKGYaFmSe47H49+Y//s3zVny0MX/+vaCAq1IiOaDlel68xF4dPuOxO/83e
eXS3rqRX+698y+MP10AhDzwhSDApZ2mCpROEHAoZ+PV+AN1unT6+7rbnnmAxiCBFAoWq99372T2F
3BKXTbAEdM4Ovhpt2ax3PzcsSyCyp1znO7Se6MNI98xmIMQR6bLViIXV7dztGhGl9O7NuMSDrjtq
hsWWs+ytXpKf0iVQ1BrRq/LI+lywhI72SjpAPeUxuSzxVbJJ1ye75dVfu/i6WzQI0MQSdYrqkktZ
ugSgLsTINeWrWuO/1ptfmwyl036whmOSIbNFkgfSdzkVONg5RzIKqCxBSflcHvt64uuuVbswZ2pY
SvuusD//ZH02TKd30ZAG/vW3VVMZnsY8D5Q639f6vRCZEe/hnmKcX1i/hmVcQLF0fNKXYWEvG2Qi
PLH+rmFeupO33hTLdUnVzWdNByEAVp/0u2UzYR84iSgKoQrOjte7drDtltST2gzFaUgqgex22q5e
J+blfzqhXMSBnz64r8cM8pogdwmSnEskrWuhu1guv+6w/stggiSpeMkumG/LPI6PCqE7Fdry4zBd
ihUOuiiA11t9TkJepgyHcHF1wcOY9mYvDixcw13NqbFhkYPE9tOBtQ6Iq0tr/TD1YIiFDBxt13cf
6f34ZaVfrX4xelHN0enfpsUWMnQT1mBV7FeDFkqf2jcc5/bL6VcnYO/O6/1xkaESuwsDIhnDmAhe
MC9Y/1HXGlCjj05KsAyD/7qhD2Lkh26xcKmoOcm1TKaSFOTstJq31k3Tgj6rbb7u1dW1vm59ojOT
BbCwXj+SdYtNctpGOcfWL3+17PzrHdf3Wl/+3z7mrMzerz2st9bXfT32dfdrN18f7+uxRHKyBiE1
s8ZOnoKvPa9/bK8Q78/P/vWaKHOiw6yhbv/6ntZ/TxE2VZNVAVTpNAoWgiv6J8uvalR+C8y3nOx4
13HpZYnPqYy1DwWh6Ubl4cu5V84j2dEEmRtJYh3mAY/+og8vQ6JiDIDuGzpOHDLrkbseJ1+b0Xau
yIYXfj0nlbobbhOdds/a8IgdLv/DDHJ2LnJE6kWJyqZdrsMVqirW/8vnWT+EWvf3gwBu6eA4DWM4
6uSzIurGKkK2AmgAh0bmiX+BiJH2pOdkE0ZGndge6tLkuLYxSOy8wergxh6X7E2rkdWx7oOrOGa5
YTbbfa1lNF2insBKhEHoaTb/11j4nzQWdF0V5j9znj/QWPjZND9//mo+//NVf3YVHO0PhG80s4SG
ydsk9uTvWTKu+oeumbptCQfHocP27+Zz3frDcjSmVoZQDe3Tl/6n+Vw3/nAd3aL+6TIN0+lW/G+6
CoTW/JYlQ43IdS0Wxaqm42R3f8+SsYnqVaKBRNqIWGJvPZfWA3gw9JY6wdPqvC11URG2pTrQ/LGO
ew3Ky1+MuWgm6HS2q1dgeWb16H5Zdtcn1seKjujNsaMYbtsEbvzdPq2GKIg+73/edJCrisxt94VF
tEpGyWF1S1Mo/ge08nq960jh9hWpXyfLIkZrGobK9eYQEMi0W2/KZWmDEg61kabTBClNsi8sGXcY
TZSjNKwQ/EwI+sdJn8zlii1phsIXYnk/nwcdPGNOu1BT6XJu5gCv2CgKbWdbxTmeNWSCjcTvhHsx
MVxmpREJDSNVzmmsHil0kkCSUq+61g31NadOejUJDOTRuOBn5+AQKejA845eTVVl163a3wxGlO6w
EJYenkmSBbAlxstKvAvJDyCxeNdBJ1NFSDCAQXM5HONz29oItbplLRC9VLV+ngit4dLFIId99dIO
sUUpereo+Pex0ZqesYd0RaNoeIQhSZ4DVJ5uGA38MRWKJeOZWvZDM0CytQIX8UQGBbAgxFPL81uc
UbihbLo1xG+bvuPeO6FGLCEsE4pdzktB9auq6hGHI5bQSXUvpl4F9pJjtEMTwWS9Idu6hGmC5JNs
WEUmu7bdJ+AGH5XobmiT12wsdkU8Q1XOqGMGZKSneq/57kzko+0aXhJhJhycxciOrFuE5n1ua8ZB
hZ5MAvw1JUfDt7WMGJi4pZOcUf52qFonkXNpNJDsDUP7UArF2haxcE8yq270tJa3Ij2ZzINpHmBA
mCz6+Kpt+E5O4EBIsXNbAAD1KmW+s1EP+hFB68pEPSnOXMordrDBkUlpQx9fRczqgwgezYd4hqwp
sL6h9MObO12S9P1CZ6k9YF0ASujMb3EgYgqEs7eeKPN9k5X5dsIhpxZYSWIzJOo2xolrRMb3sF2K
9bpNcI7NYRMk1bGgRYUkpt436DdA1FknzaD9k2cuat3hjtUa9TwZND5xGZAHwgnnAwDeqHW3FlCV
Q0gQOpIxUL59DFx5QO9GFGVtjRfYu/NtcAvT5YhadVs4fe9ZtXkv4v5b1inJdprL27YlJlBbrA74
bA2GNa7RYjpGOt7gFOdMUFGOVAQS4bi5K+oBcsEYe+WITk4xSX9TGk7E9lCQ1rYUdSCw4exNMV/i
+UgfapUAiljRzup8kAYOCdGBoUlz4itL9UJrQwxXBuufcdEwOXr5jaMDBmjHClGNLX0zoZ5m0oeu
R0Ehr0/uhqMY0U390ptdeDay/Tpz0Ji4BfQez5o6bLp2wqTSAuZBHoZHae7g/RsRR1a6awgljTHA
ZKzLlbKp91RPXJ8D6LasJ+TA00tD+iwKBoyg0/LBZFFSJ9RDwA9R2ByxJOWa9ZbaeGs1PzZBucr8
zWqIrS40+lRu0FPi9IdLOsE/O9NuD1BNWIfXAYYHYdC4SZvnjMPsYOs9jJoBfviMYUspMEOhNN81
hKVW7iXqIH6efOP28E8JsdonakkUtus2W0WMCUZ4lhz2oMFOO2KteUnDDn1qpZPYVET7zODUiCIQ
VFFxbS1vUsp8P/cDzicbMVKwuBUUzMljbd50qvEjMxlTw87v4vFm7OP2aspgKffogY+Ne48LFko2
CZt8QTG8Xa044kBeHKgWAEVwGJFQ5GbCSLXvE5vEcHyPLmFmQ69+Fyn30Ma+h4pX06vGoBlvA0Ac
wBj6bRDdTSFp3iJi5KRY7lUmYYugeJcELyrSSGIlcmrXsJ70UeU8iLGBjuHiiHDg34a4upywyz2l
sEPfLuxyNw+ATqjpeVNAnzmWQ3COBNbggYL8MEGHHZyfxsjw0lsTC0PooB5kPojSb5lVHKuAK5VT
5y+m8aHkNFo1hbD7NouPxBXDFa4+nBJXLIC7g1Jr3SEcsocxX1CoSl0T2tVn2ySLrBuq1V5SwM1F
M3ScgYmq3Y9KhiS2zPoTkV09lnfsX2kzFNuycAm1H2EAo2jCPU+mdDYdbfsucSKvVqBTORowb0Rs
BYewMhyLqaWppeX9xZx8myvokanemmcorrkFpLeXb3qNU90gk2QLXY6GQxpRlU+Kb/RY38cJ1B4E
pw5YMWZpDLGqe8KyieaXQHUbdMJUpBn98eC1LtXhuHgnxBBpxyCP9qaJXNhoaTJl+pwdlGwKaFTT
lzINldjHOb9BFAtM2zQ2gSqCXW6XzTGarA5XBwvq8dxonJL6SG+njpLbaSTJpnmq8z5EwceXB5Cy
R5JK98wdx1Ng4rpGfX2AcEFGkPTSWa+vCyzQG3JHHyQ6990shmCfqfCe0oJBY0g/zLAvdvmgZxQU
oREnKgF4zTPrUCS902XV0a4leWdPPPmzoxomRjXM2IsGChP+B5hFhZp7XeP3k8624KISNtP1lM4P
tdW0fmolEzhComs1+LY4QI27UIt3iTKb5zSaAc00VzG+dt/U5VPNymQ/qdaVkvh9k417pVGvkTtE
Xkua204vOSdwAMd7y7DuFAWNByYA1iMC4EM1skQKtlZIZoKmXtmFec+Z86KyeDlR/R/3lDzRTaHa
WjcpEwmMCM7ORsALNhF2vdxiPmb60KN5gjRM0ADcvxzX5BEHoHpaA4H0SLzlXNK3quNcjlQvdmbK
oE767W1UQal1Ivetj3L8ZHjmxtDU94B0RsY6g+imODcf1J6eQRRMryphdDv041vFicxsU6k5DDen
eK8WiVa3as9SRWeWmed3apoQAYEFOEyoemFVPUjgCqzIpB+4PwKiynemRgodAAzgeoPjbJhPHAZF
+caY3/hgH6/Dtjf9tf5pKYZOv9BFe2IZXLPATG4Q0UKun1iJZZPXiXjaJ2ZzW8TpNoBwf2w3NdFD
s6cu43cylMT0LmUQUfTSR+53t1pfB6J/EFj2uC6RnuvbQWdZmOp3VoKrUrHIJVxL3GoUoALhPdew
rXxNrVeWNCCi/K5j+vY2ypfDWoVXQQvpiWZ5jP+XwxKMZOui349NAjMnMv1hjK7X4BXsJ0Cmp1YC
P87EoZSV10Y2RRPaJT5ROXdF085HPb6fYHjWiDHRaJSfFXfLhfKYxtHRdvPYz3qW8zA1tvjS0hPa
bBrzQmA3xvGDv4k5oSsyH5HQQwKGP6N5acBxhyM1u6l5zDsxMO6RT7ZUGcOlzwL+Pd1hg/gpTaXd
pbkVHWmYetKW9PNpKyPBJCa9JUFsq8ZwNlHy0FdbktPW0LQ8eDOa4DGhDes3Rh5uOUlU3bmjhVYf
hkh90oXV+G2I6QBD4dBgH+smlEqpbbSHRKPf1VMNaGsCMcJGPTV4AhHWGj2oxnA+lapKGi/BcmBy
mv2cgTlaxIXEKClLzZ5i8pvs7/PE+TnEjBcRevcCrsC+FBloGP1xRCICLukhlorw+qVu0TU66LvE
endj+hzzKqh0+OXVKZBLajJzc04nLcyeZrfT+OCGB+zihXlg5LuCpmRhkTBdqn4m+p9E1yg7KjxB
mA5gJaOPdszO2lKrq9SHClDdcY0po5Z83Rql4kdWY8KqrGqvw6vIbFS1vcIt5YbDCK5GuCvUxatQ
UYwoxvRWkabEzNDvQJRJtDcUK4OshC8GM5xY6QaiuXsHmIUMz2UzhN/RAU+ksADkEbJ40nVNJ0R0
1lwouyTFwc7xlJCEW+TOzV5n4WYMke5jpnplRkGzP2ewsWnWosSkH6lipctntC1j8SgZbH0Ln0c1
9ec4lvf9AI8fv1d/BjhEmqaDubY72HOmnJq4fWf28ETpFe6q1ZxxxuBPTAyfoGF1kSEj4FM3qVvJ
LZws49RN5j6WBPw1ZofXZ8GcVXkmTvgsEIeXz7FijbuMsfzzpMYhcSukALE2InrH3yBp4aLitAyy
zMaMmn6AEcAnccpOJIc7GFoPGAWkii67yEaaromluAwr5DKE+Yj52EkKhRVheAhawYRviuFhuOEW
RV28Z2UFi2Ig9+yGwMXOG1p2Z+vhQzlR/GqTNjp3sFWP+ISZ8iWQTK0k9130rKGtgxKxZwa8pQxo
SkwGc3KShVdkwHYwRFI+6qCIhAGl4LJxn2QMfmEFEayH+RRhgmfgSXeu9QpB8y1Kac30U3WRCO1s
QZLZ6cSeY5dlImRqaMNmJEnzbFI0ZkptmyOpbAPyp6ynivWWE6ayJEiR0OZ80K9QTutGVUmUgQOi
3w75zDG6rF0N6nGfm6zqnvqyGf3Fz/X5kLTUnHZzX+3WTWCByCwg1F0gyVwn6WBotNsVpaDJkCpa
CtpWaeW7qc8uXQi4bqMyEulCqQwXluxPsUXYHKo/h+K+hbifkgRGm9aPMjl6mSJ7v33GjakRGaUa
p1jm5uetdMAjiz/6SMo0dv3UbBaSOZrJQlnInkSlITyArNFIoFQDgChpyBsXUP5etaR9oKexODEA
ZSzPfW3Wx7KEwmGogEZzlz+RZU6oUJLcFfiK/XEqU1hzt8IgXCwsgum7QXHFmzrHPCVlygUU8suV
VMJwH1kqV+alYN9KgdV6qSsatQM8JS1fhqV6OBnkggzkSHnoq39WhyrQX6uOWkGegj7aZHXEwUzF
e+2vf7UDg+UqqUXMdhMJ7mvdqEk/HwrIRHpj4T9cgEqrf3fdKPOt1BXruF7Wvh4WGPtNzqEpN1UK
4Wzmjq5dawDRdzq5nWLjPUDw6WuBgNREqhYB7Qy+M8fogd7FcYaVeC6sPgfPW+C4QLMuWapnPi65
Y6goZIO4PmOAytUlgnoR5cbNuskVhDxdeW+2duO1rvYoXb3jwhns4hqvS5rE57JGmdCLttrXjTiN
TEr3DbZFGxPGZcSR5xlaWNAV1IwLNbEbzEGINvTwdSzuKAEXXUvfqyCDPbK1+N3oOxUGg9kA0gtu
IzD89xUQeFd1vCrCytUUgXkTuPBk8yj7AcZrH7i9QxAqBgNpzDhWR/zkVpqWUHD7/gFmxdm0wwDZ
KAuDEX7WuRZvs5rTZ3DhrRLqCM5+U1aJ/txUicA+h+pu1OMS0CqBEQWxcZhyBq9z4K7CWfjZdtlD
pObuweyglIxYUaOB5VkQlSP80vg4F8U7Wl/tO57iE0WB50nk+l2d4Vs3k8JAUSii0+AQrWKH41UV
yx84JlCjEdOywaRCGVsm/XmADWa2wr7swRX4uGMhxjmDexFX3zSkaufqesxy444VCDn3eO7IxnW3
RsSIWE4zggfByjestJxkA6KdwpD5xGQVFOYHuwPYP25rWWCOCOpFBTgGF6GR3JnD+zRG6Zsw8C6p
ZHoko/6AjvvdeSZx1r3iqhhu69bUHiJI3HnriuNYwdcBjj1dtPAJ/Bl5GdSkxr2ISnRLyRJpUsMv
d4GfIPIfTxXmMhhR6bS39Q/oYfPRMhNcn0xHWIA4yi5rgodyJukixNSKs8oYL2UDCEZvrX4bOcO3
TImba7NoniPEZF60GENWVQoWGXtL1TJH6MdjymIgmeIUWaba+IHeaYT0LKkFy/Cf9tZ8cuquJQY7
eVgfYi40nW7kYsVYN2v6XTLo2DjEjAJxqdL2S5V2hbkoyEndxuTkcxtfJ6faKzUOwExTS5+cxsd0
Gbnr3l3abhFYbVQjq35kEvUNq/rh8yGxFl0rYT22I9y7VS+xblb5BHhuv8RTituYK46MAHGgtvkU
VSztPaRtAAiLiLkCUDw48qJhcr2GFa5xietGjM12Cjh8VRWOZWdFAJVMKginddITNPzT661MSzI/
LbSndaVTsqyx84gYrZG0nJEDBWzKD03iKIEyjkDbcg+KhbZShIsipadg6FJWCTQiYEATJ4cq5Mfr
x8xilut2cMJYUUpozQCdcVtGjB/Kzajhte6DFiEH9QJCl6yfeOq182Q4ZwdOBuW/uaJZg6K1vIvC
5BRpA6mERdJtkiBFVo2Nd7apHsciR1oVaOm2KuU1ASiMRtIAaSPNm1CEwQ7SC03GaQguOVqxyMCM
Y9UD8mCnpPGudubo2mlhdxT9vtTlOSTTx3OA9FA+GrZutQw1CJF1+ybpCUno0nCbSdAmSD3u0jD5
oKiV7vm9cdb4VaTWu2yOUehW/WOaEFZoyHA3OR3ZgyY1g5qfYFMr5NHFUyF2Dr5Bv04es1j/2U0F
WWhxShJVGL2zjr+Gbb9P3ZRKDzg7H/mEJyguMjz2/ii5RJNsCbN8T1EDtTC8qw3VxX6nkwuxMZaw
ZoB0jOUOsOgq5su2Z0mMBS5GZHJx5+vmxhici9RQrW0329+K1D1iO7vIJRi+mXO1dudnc7BP5N/R
4kuvQclTo7PAHlYN/TK13FYUebe8M5Ob1OLV3TKGzfO5m7R0b3fz/aihvmHySq+XhCWvAW6QSb26
EClhOraSaNflRMiFUDhAnfhC58uxNGIIpSUGTBDMtFJXXlrUSjMl+Tmq1HQHV16M9AM8vc7f4mHR
s+YBIPos284tGU6Ncp50R9/IVrmn0H+/kwH9l0p76RvKvss0thjeVVbXEATV5i6f45eQWdFdU/Fv
NxKBs9HmFJyZDsZZeM9CINEv2wnkUxhHiMIr9I0BVzyYo15R5Q/kdl/azIlxQEWX4A9TgvIMeWET
AlqGFroC8d2Wzuzb7VPhZtYmy+1HWj9PptFoOwgwxh7j7iUWYlqqVpAy8auuJDZUGgtk55kJwtoo
sI9NpIlDEWiXOHaplkF48TrVd+rxuUti3Lvk5Dh4ZzULNEPFmMVVrQaaZCKg6ABg6CMsS0dDqK1F
cC1Ay2WmdScEDYG4d4EbhMOOJO1Li1Jc06i0TfKqJld32BTASm7T4LLDM7aZBRHagCZ8NRjITbWM
YjtBOLeGwdwpZgrVAUGsEdLqyV1Q5EL/qbjtD11EV6IoyQxUyoyJ8SvMeHBKAfFIPS5ZhzhwpgcL
tY0CFg4FZ1FP894XGpinFfFPI5xIkXqWfFkE1ZHu5yj1m1kbH+P3gi4hHsLikshs8wK08nORfGel
GlG8a9Ndm3J0t9lWtQRLtupmivVFMUvVylD8MW+qh8bgALHne2mqDuslfUuyXnHu4jfI1pxpcCdg
brwQyzZQHtD9tpkIaUvDettl1qlKra1alcR6D5QEcD8XXLp0Epops9Qgd8wcX6F4KZOk3yap/mi0
4lusFxVSLFTv0Vw+FQQXw/qMcdtq0bnuakIeFl9BSjWxmLSHmXI4ySVEh8hFvvIQxG59COz+Ii/T
B6IYDc9NSAGweiY/uYvPIpng28TFe6ghya9Mi4oUOj+dzgkamDt4NIeBWU/T6oNP1EEJ+PYxNWgP
xdVhhjy4dWzlTlWD9j4yxHM5ua9FSjoSH87dtwzpTWRdiSD+CBMj8aYhhFlEdAsLtISeERCaHMwX
Qr+G3CQHba5NWjcA1OjUZPQU4Pwpx26gbuxOibazyPkkXscEfqXhccWVQ6pArHxrlGZvBmgDwFb6
SUyOjT1qxs6pyd2w8SyZyndOdvgmePmNYrQoK6CxCeF82OJaz8+9xpkmk0fJ+mxjkSu4L1WaFU2o
PdlgCPesmVFqVxfIP49wOJYCXlpujbK+SPF37YfMZ05zTUIh5N4aSb8eNezmEiMTWm4tvZeV/iHq
+UBnjc9vD6+DjTUpgGF7zGV2GT0siZLdcLbMgg4QeqON7bKLPqrkZaAMG+Kj39RFJ6fE7TNNBCjf
uoDz5arHpFTO0kRxa6ADg1jKDCRrr2FhEd/Zz7mX5qXtz7vKjHGEg6ohrolMhcjyWhun+VjodAZl
6feZ+71FLIaXpLIuw2Q+9ssJ1VAjCgBkb5C62bJa0jog86dcJxqLUm/B9ZJInVDDM8QadOoa1kCq
vXMswqKKoNuxLOcoLMhCsd+obn6XJRGHRlxtxuFokyb1EIOH09TMZg3BJDHUv8dTe0b0vggp5XYe
8yOJ3xpItXDn/LD3WpGrXlbYgBGTpWS0GEdQSkeqeg2U850Om/TjtgUOYzOWGUpyX5fkg5rgJXsA
qxt1pGFXcEqTzjAVu6zCtJ4WKTKYZnwwbPLL8zrxHTmOOPLoQEbEAOZNS+AJsRHHxnbIO5vIc3G8
mb7RKaxtP7MxJ6CfPAUq03UU9wdmvy/Y8Dg0BakXsoeYRINzyIp3mO1mpl+Jqn9VOuSCtVkaR5Oo
d1io1g5JgrWJCjzi5ugg13aaD8YY25OqDYds7M9I7mmsLAl26B8xOczdzsndbyUlKnumFUxmO9Ue
h7RJ1fK1pXRY9kaZOfu2N6L9apL+2qyu6tVf/dtjX3cVXBVIbULCbGQB73c17Ba4ADIapgvqfhUH
U0WQHi2cypvynKe4sgEmXIjZv/x9HQj633n2WK0vX//ml5ufu1v2WS7FBEtweqySJkfvrrVZm+ni
LW+4bNbXft39/BBf7/fLrn/788/3mwakRiE+G590vIEoHj7oKuAKl50PqwhsfWvNirRDPqsdljTx
qM56vLdDtfChgn6nKDYduhYHoCyd8lAwu94RevLdmtJD3z/HEvD7glog6Lm8su0aD3rxioFleouw
zBWRbV84ojMPisBfwWKJtssq1vv95qqkkw4LnLbr3oJlqbJa2tdN4lgoQtabqA5cLNCL3j4SLtrg
9WZDbuwpN6n39gb+pvPvz6/7s1cW5frUapRfb60bSyR/29Png8bM3NIqmTlzDf76u6+P9bmvr/t/
9Td/9ZihtM7RbrAIUkA3mwng0KLyBAOsE/nGXRKi61Pz92fXW+tj67Pr3XWz7uDr7l+99q92lXfl
wLyN36JemiMLG1Uu0viQ/5Ya4HL/Lx/UK7IDfnm+XF4Uf71ovb++0pKsfjrnOOiEu9cdhzT9am4G
pT39eXN9at2YQGUVqRy/Xv71Eb4e07F9/J8K7ef/SIWGEBy/+b//zTu+fW/f/9/nK6/e85//8W9P
P+u8LNp/0KB9vuZvznbtD8PWsaDrKqukxb/+dw2arf9h6AbyNMvQrEVn9ouz3fxD1XjYMaDw6dqi
hPtTgmaIP2zhakjPTID+tGLt/40EjYiVX8NPhGuaGmo2PqChY3BXf3O1OxrUwrh0zEMIvdrpuNrG
t7M24NAMCaj65Yv5M3vl16wV/bekFcOxaKjyXyGhc1W+D4cP8/39DgNd8x//pv3/oINNRdc0OEy1
hjXB6QRzsJHCptRxFGA6UX+wZDh2LBPV6RKozYtUxmOWM7+Ne/pCNhamDC4RBOAB+8+wTccJRGoK
Msop4scYYCgBhSZkZ/0cZ2C/KiFJeq8bmmupA5/GdjCsxBdl6IAFw7Go9BOEIjDL//wftf8LK4B/
1LRUR3X5pWC7/fatRlZG6As1HZTrxmEEuUYXymH5EJtgtcjA0LIlyUJ8h7D4wYr9UI31jQqcEwAZ
E/q4apmk5weKgx+5kV9kWT9sHVLWF/XPLoWLTMUVS6RgBBIlK6s6156hXNIC3ROvYRyFox97C+v0
HBpiV7Y6ArSU9V5F60vfrT0rRVBhclEK/1KOjwCTURzVVZLdo22GsZAsL5dPavCx297JvMFGSObi
8ERm3b5M0mKqEcpD5GiPRTzBkC8QTjhuckgcKPGurpu8JP7QkulQVMNNb/EDRDTltmKjTfNPmcmb
VA0/COolrCqN7yt8FWLAXse/5WwnI30tZQnD2+3fKcIsAglcF//it1oOul/if9aD0jb4neDvmZyh
vx2UBL1Uek4i1wEzlEO3NXhI9PQNTiiqkxF8VFoEmAO6joiJBAyLpJlV1iS7W+ahUewSMEG719BQ
hCnWFBvg76FmxhYM+LZFPJyoaVrAAZ2XsbEyTxhMkFW0UkmU5DAHwn2NUo/+Zxv6znSrPfcqGeRI
Cz9MCHkeSc/hRtrYWpKS4172OGgHMlVnw/2WReB99Fq+ZIQ0EFLusATAlu3E3SYy03MuqqduKG5y
QOyL3RdeFwEVWvrWmMVN0EzA/U9lPxwnYZHRlV0lgXLdCWC1NN3H/KSrDcKZvoKQLsgS7PgVjYLy
DCjZW1VDwUGeBD9+kly77rS1DXQ0BMrCuFmKm3cwLJt/MXj81Snl2BbcLgeijfV7SlNj6Jhu7ME9
xHo1bGuVDpwTmpOvGSS6ifvWSF/++YGh/eU7OhgwDPos5n+R5pq91sAY5B31kTK5ZS3eFsIGl5MB
gNhzFRdXOs4SYhi7l3TiCI5LfmHqgZT2CudYx+EHhZlQhpiZXv/5Z/urYxZKEAJlBlPh6lw3fh1I
hdYUBUoI92CLC4JVoj3WudzjStbgAsXi3YGpIAkz/xe/wV+8LUJllNTEqNLQNn5LynJrIYj0VZwD
zdGP0XQe1IrxgMbTRwPXbReOKTRN5+Gf/6+auuz2tzPUFDxso8ogP+z3a1QSasJFx+8c1BbcZxxe
hwN9qWjILoJKxYpbaRkymZR60WPQ2MSrQtaSo+i90lY/4Mqc8x76BKB9Rv8ov7SS8iwTBplApX0Q
s5uMpjnMQNBiycRKEJmxV2UWGk8rvzEaIrOzKX4uauW2MKxT0fNVTyh6QVmQ/sj77rKRVleG9iKp
hpZj84ZqBEJZCwRbmuVHADbk4uoLhBQw7RtSVrR/RYh+Lxrl4onADY+0xnLq7636mFaQDoJuuHYD
oIqUYCGfS2AVLGZTk082pKhPU9kkDIup6wG++Rg780zDLiU8GexflY87CJ/Y3qjT46+YloEnG+cL
I+RiQDeEFjU/WyXh4zJbjwkpY60zPeh9+dhpy99yaaUxPt3ZUBA9qfQqLn2ccCEnXuDy5ZpSf7EI
K0kp5FIPpxU3SBLo6fypDkgNtK+QPmm/gVAraWnm3r84IoTBnOkfDwlHVTGkm7awHdT45nLu/jqT
EEEGl7ge4YaLRXHmJ0V/jVVm3itBQ9vcvaXLRkCnVl3qOrb+qLUv5wEyTkYDeRqZyvc7qMs69QFw
64GjHjRn6KhVJp1PItF9xVzFM6nTDUs8OhCV8KIU2mOXsNYVObDfDJ1Ng72wA9IWGT26VtkBtDG/
x/bSEEXoPjVk7UCEQFqQtSjebBOzsU3lGoxeWoaRH+XTR1tYJ1vE6tYwWa2rxzoa7txyoFTRa9Wm
bNq9QBp2Wc7Gj1RBTxIE08NYBZDnHXNXcjg16RYlwD3gu4vMLO4c6dAYGYGsEbBm4g0XLxDkBh+m
kW/mhY2I3aWSmShbooapRnZMsUItR9AAUwLCjq8URedHvfJsWSZ66mjaO7n+2MzlKxl45Go05nM9
NdA5svg+SSjhSCoAFkzfJGDhmlHVshrlSs7dEV0lMcatfcv70tKx3UPY1cc2d9CERsO9nlQH0cc7
R81jhNDDZT0l3RavhmdnfFXGUzvg6Bplf1dI82OScbnP68ovKhJ78cGiV7L53IRT3EZMrD3bbI2N
BdUrdZMKB6PgtYCFxkBwdcJuyXe19GtA8ihUk4yYAkmgu7jVmXxV6XEcl2wxXusJa3pnagbqEB1x
0k7ZMjvVfEML6H9R7Zy1yAHHJE8dPvhrlPSx38+YqtMEjGSil8eRAh1HA4cE/oqIw9+I/SHRmQLq
eeWlaYKsPRXnujDV45KSstURrTsgmnaOUUXbVMtfJpO65yijpznM7hO0JDENh8SKiC9Op5BM7eiQ
d/JAAwRMRuUPtkniBQfDRJlJtUkGJsA65bA7SJVaKPjlzhOTS3ynhdNBwbreSNertPox53Td9Jp+
Gw22Ql0PrGEj5nd4hFbKbriUWPsqMJ5MaV5ZqkR/DQGZYUjfF6QCMMiCL0jpQ+/VCNAtEclmGT8W
6YjmkTbeUKrkKWXV4yikvZ1d8uvdsdSBV2l7OxeE0iPi2ETI0ChKwP5Gf43mHMN1MTGiTFHk9bN9
XcbVeY70a3CYu0pR3vNyvGXSStB4am+ImGP2NObI5ILVzHsXqvz+ea2qZ5MUvgbEueiZoZrMVogq
z0ENK/d6wMg8FwyxBrj9hiYbUcELYpTzyRnuGqXvPBqvEdRFcTHXTUQvibO6xZc8wa725GZ81Tlt
oNIQyh1MsEuGBGcB+cppvqdo+gpwsyHXWZABnU/wuIIKd0Kmv7vtKYi6H0QpDkcS1pD1jsD4IfFm
Ut4Xjnm89ZFCXlaTLjaOUlziM/OtpN1WdvSU5v1PlHrxpldxrWjVVQP22ZKvrewe3Eb8J2Xn2SM3
srbn/+LvPGYOhm3AnXNPTx59IUajEXPO/PW+WC1sS3P23WMDuwVWILs1bLKqnucO3yJ9FxXjDjdu
gNMO2NposGDGlSmyMVb3EgMMbWqXRXe9NqLiNPb1yB8BPE/YknuHdUr+PXkq4xaJ9dh5j+zCIxvX
P8TO6CEcA0pTS8yZhVYGeDhnlUq2eq5LjIgG4H5LL3IRTEaEWFJ1kF+TWmYcH9rUfST7NEehbDy1
lQfYS43fwpS/jo/wrNwlh6Qk/kwSWJ6ztH1xVGYTzAGiSy4hTQL+uJg5SoEJgSmtMnYHhFs3Ul8n
IAvnLvtGUvsDsVEVtkis47nNNZ+Q4RHyj/cF2PFQ52HOM6yKCr1+spz0ItX5Gch1ODEqwI82pDGB
6BQVmsrVaD0hFImqbIq4LnK/vCPHSXg+mdzC7GZr1368hM+Vzhw/fHeDx7ICstkNvDR97ZKSAJyA
Emghr+ueyKrih49WwZs0LM1d5NRYreUu3BNIwATL5WXdFtnCsHRr2TZkkwIbRHzXPeXOYMwqFbEW
KDe7RsFUJmO6HeC69NyryBm+S8E3nnIELMIuXBiO84x58KVXmKs9J3qq8nKt9+is1bLszS4yPJ+t
WSXrqAgwU/OHDHBfUc5zvLpl7OZk0q9z1pEzSW8qPEm119zR35BBUfOkYYHHvBm0zd4wkQvVvA+M
KdvY+0h0DTBJIcVzVlNPdU4mtiZDu8iNDpn36kWWnA83CTZm3rGNcKXnyESoB4g6hj5z1NogocCn
11/bcnhMeL3gEGDjD0PGqrZi0N7OIurYRkbxDlGznyFZ1plhl3zRNnvpHHLglqksu9Q/ZZr/6nqv
lbqPU7+eyZGOPqjmrJW8B4DiqxtxbgfDYREwvVXYLw99bMw0h6VBp6Dp46OrUET93PK6F9/s0BuT
bHzGYMfMS0sHIdjAjcLkDHMff0P2NV709Kf4+gw1kPXWJJsUR+ioDspLBtNkUcjGUgU8sJR1TIZ4
xxGLIBka2Pa+L52feMz0yLxmPGqgT/2cPEKBm9pQeE8+rp+9FqJW3r3VUiYzdb6SRzFepfISBvJ9
0o3lEo1maaZKIy7cOq/4tEyStyiT1jg8LbohDNdma0MAy3EYwRjl0w8J/zbDe1qbd10Hc8giirCV
8v4VfYRDjdBom7ZAuCR/DjXvaRgUfdujHEFEvIVrN4GG9VFfMA1gVG7pd1G+V9FY0SckJoIvdqWv
XCQV1vLkDsoG8BfExQD0B8YWEGJtGheWq+Mqm7juSJFCYBgl4jo9kAtYkwVCZtC/+85vd+LoVngT
XjAJycQAk4b5N1lUtIhm4ENug9K2czIKEJLNCftcj9lp6JH89wVKLglCxA0IqIqr2aCg1g0wfgS8
N7oNZ8xOyPfG9UmAfyJAtCVCQSuB2oMUxszRqT5udaRLo1BZN5p6nNzAZQQG0k4l4I3jYaiiOBwl
T/zEmXb1SENhGtpigxicaYA9LyRkVmSMDdD0BZyuIKggRZ9keO66MSH7a6efhhIfLf+CPw8r/cG7
c93+yDIJGK3l33VZ9ZRW5AmjYE8s+rPs+j2a7wvFVt/tBh9yrKPYfrY4nuA096nG3p1ay3NFRY0P
MT5nHqLVzCoDJX6Teb15gv75yRoKFbFpmaL7i1AemfoIhtkY9pUDpBVAJbxMaz5lhCOwzJ3kG/u+
YSfwPp3WpMvWqriqCRtxZuBLWKupvm3R+wWWtb6prphq7y7Rm34WWihCFSXiRkeVsfcSHlEpADNc
Dba7E0XagScGtnJi3e2urgpBCEnqMQqBAqtfyuRU52gwk5Ets8cwqj+qSTtZ3F1xJH4rwQg0LBhc
1tma15DdmlirQshHHNl6gwRxAWTS95ExLh2AFxgbGcn4HbysAg3B3wal/OaFRH+6Nn12bXedTgEN
OYx+hq37yIZpo5OMBgNmHNTaewLJGKwHDGfGRjY2Qc/shlBzDZzXw1aF+I5Xd2xc2xoZLyfahgmL
uCDza3JjbNZ1rYYpmBpLQx1/6EO3FTHMOoQ3AS3A8SosPDKFDRu6dmPZvLJrY3kko+lljsAskK6h
Q+O9uexMticuf56yDn+2OgE5w5A++zZ0ZmXJP6BWpZmRo6YH04fFDUvMncX2skQfEw9YUkmF+RM5
L/U8hf7EJtHNw3lu5shqJPXGzgBDiS332HJtJYALmbT1NlcTe9FPHxe42hN2AEsHuRp2L1hITGEu
KXEeCzn+BuGVdW1E+hy5/4/KjX7q+EABWkE4hH9fWJ58WdLmnRcjvgdSGVUZ+T5UbWJsHYOs4Sy1
pHWdjNmVDBy5Y96HqGbPpBzNwrz3RmCWKDfWCjwS08F/AeWTGoFPrCuIoAU5WWD3wSjTTTgAj8SJ
e2PFzXtiQk8MWnWLJad1UIMDslb2InGhnUFSm/sgiDYW8dT6vcrYQU2/mH70zUUxxTHNUV0m/qpV
iB6UdZIvDdRl9BLreg+VW8IIhKNtIC7QyeR42xs8480UVgQC7EyqlZfaKn+4JhEBrC5xvp4cC1sC
FWZYvbh2DgaSCIchZ89Kg2iTXuDwggDnvgRdukDKiA1qiQmWxqKJmHu6SEprMlfiS5lSDRVwm1X7
RuHhFrfH500T+EGNblz4reZGoM6fPqsyUxliZd86IzuH8MxmEQ6cC8nt7ke972ag53g8Iu0kafZF
NgicoKXI5zn2vQSWY9bDYJrX/FVQS4pn6Pu8BU1wkVxiveJXF/X+MlHkFg8HViddL8+p/RxH1g8+
cIYpEIKahjwbNdikLhFH8g8ypCT7EeFXSKlTH7u2gh8UPjAYq/FRCKCxpZ4iMVaCkmOpfyC0SIwH
PTMCSZ+BJGPv9eC3YKIH31mJP2kAQWBJ5nUKVMJLZZ2D1KW4Wha9s7bNWPi0/sFC/hxEGUKNZgX2
nR/4squjB8x0T2FGdL7N2MslAbKtjRyj/D+ONcwC4FR5tEkJNswMJorlyA9+1tfcVxHcTgnGEdnu
tjUwD/Aa/HlNpP+zqFFJJMOkKbpwqfYEhrNcDzYk12uCThFho8TYNnWHLvwQfvN0ojCKdGgVghJl
iBE1yF0EcKMVaHqmY9/aF52C152UATZrbeC+KIJVelpvHPfBr6Cq+S6ySQl2tWy/0gaiswGEfRV3
7BRGp98q4KFLyQDIlvxkVwC4KHV3gAu+d17UbiPswRCkG38m8lM9/YANn8Ca5ETA50DOlS7b44kP
FxE3U0r50uXWOtGIzmFSgKWEESCY1RCy4IdH/ALUW7QXORkgeT8Jr3CbO/sRrvspHo1LBQNxyQKq
ihNcLPKG5Q6QOPEbG/W0W+B3DEq9AHPRlupSbopLVensBLLopzzypm1KdHnRS5YD3GLcwSAapqh7
VdXhCawVGU1PVQ2ceQ9tMZEr4moSoL4IaTvZ59Y5QFJc1z1OUVw3OtTFcA/1/0VOeKh7E7BM7ORz
sKpTHI1VsNfaW9M1/MXA88y/sPos8qicD4G/NxRY5Dk5vk2oEyB1cBuSeKfMfR+TD4lQJiACILWQ
Dd1lF9xHJj510CSYYheuPmzZ8B+cLkvRQ/bg91isEnu2OZUOdVOtpbPnbBKMJLJigwRnsUAJOtK7
NZ442ZZMwUug1xe56jbZJL2g4hlFELsm61ZkIGZ87sezCaVv3niYq3VISSmwXuCvPpmjtVES6721
pY+yBltV4mw/V1nBFdg2KCwLgzAgFIXoXcn+JlfDF0RQIvzy+m+W0UlAjKJtq8WHKFHY16So5Dpx
689aszq5jroBkv5YTDTiMTjJRYzfa3BpMkBYcRIcRic0Z25cYkAge/siM78rTfxae2wWUX/B5xOX
nhCeS2TJKWTosWUuMl4Vd/RWXVWcJEcv1oRsw30yhiTtoYHrddOyEo6yyWqx3Zn1JdCJZ86CZjOM
0DrwUfp0R7Ww57ILtZM4M5pek/u4KDy5gMV2q5cOYc2CHL1UZfa+LBCe1yTvHvm0cackcBYtnXdI
20so7o/GjHdJgaYpMdd+nPgh0KIRGjVLeSfqju+eFQ2OEIrbCdFF7GpcErJjZ6fk6qylTLAAR0sV
xliHKBegfSQpNGVXR9HE+JoO80kZShyJIsLQkrkYsOxNIt/F95Q9LjChetLIv3WMuJgS8++XXkic
sMzsVehpD16jBYd84RXw43nyokxFbaJtAI6SnyRkyta42jZMR8ZeRmUffUnwPa6gRP1VGA5mQBoA
Ynw1inQvAQYXgeD//tH/D+8z+5VRvsq0f2T5wLPm11+q//sxS/jvf07n/DVGJOtvtWPwUWZV9rP+
x1Hrz2zK6FdfB/1xZT7917ebgAB/VJYCTnBpPsvh/rNq4vp3yMD/a+cvaMHjkAMteP8xvYgDQGTB
R/07wECRp9TLf41J+D/xexX9IbZ/PeMXIoF0yb8cSyVwDtlR1s1JdKb7rGpy8Jb6LxIsCnlrQyWx
NOnlpKgf+f/rv1nKvzT0SmSd7a6hoVEMkuAXIsGgy5AdelFF0JHi//8SxdGsP/M90/dRVMUAKKBA
4JbBtv0Z3LetFrgYgYHPsap/lqT4Dz5zx6lt2HY7LE3fA14PEbK+PwroTzOWgtqlDCs0AS0gnVmZ
EfplZeX57bhsGrIhgCCyh7Jsq0uDzrCLrciDKDx8HgEgJoRPMZF98Ipcx+HQvrMshSBiPW2qqkjG
xGM6w5PsASZ0T6aasCy4/jhfaWgpHke0K9AMOd4KC5u5o+3Xfg95VmKTwUO0uHWLIzFGHLWtJR1c
NMyni4jmVHWfsbZuAJRJ3QKIvPIaW8rJKMrmUyG6OihN88a+IkVb3jBPsUeIJJI1PPWAez7oMp6s
Bb7DS2skoims7xLVLY46weKNm7lPtybRLopbG0KMaKEbDkYenCQFZnXomgt8UuDLcZH3WO5QQBLr
96LKL41oTZn8W7utRqjEZDl2RGK0KK51Qj/0iQsFUyg0hrhnifHG9aw07RG+1LBFKCv4wVlVXbzO
wyx2IEaRxDqWtG1jZESP2wRUqGf++6EbJMlex+Rr68xRbFmWqd0dzTTpj+IIA74IKYGqCvdTr+io
QRus0dtEez0k/IsbW/GGYx/rh7b1dkRa7Nc8mjjC+RtLTW/dZ8ocp4D+5PeIYHeDlb8pCouKtNSr
vR02+rOiZnOry4u3HiGyjaWVTFHTsC6QL1mma/dWaHa/nV54rT6XNFiLuQWOdJFKSJTZdnF3rbpB
pJ9It6B55Jrt2kwRDCQXdDZN1eUByVt+EYW0KMh1ngm0OWcsuJyzYyp7v1H0/a298VnYWap3EU2i
aMbROetx1C6CBKM70QYPDAKA1ydYnYfdAcpfd0BSGukK3BqWUj9FzP/sEENubVWQjCB4Qa7m0Fz2
lTYFRaviRdQwSSfwJQ6/1n0ppou3rLVH8hlV/Qbd+dtIAl6qv0CA0NrfGgOUoF1komfIDNf3opAJ
dpeWZJ0S6IH3Ta7UJF6CCw6G4Q/y+yd43Mk7gHbMLXLHeyJnpy0AHqtnNffHNdvSBF2OLt9bqDyt
jQyfNE/Ope7Jrxu3XLpqIp18KJYgpfEwZvkesOeaijiNDtil7X5rmtolyNikmTxneeuANRHcIR/d
+7/OnQZiPuYuwzRGaomgBBSUwl6GivMIPIR/2VToKvcZHpa+vLXhHn9wQkk7Jk1f35d6DE3Xlq4n
uUHoba0gQRYrU3V8ZMeUtdlaVIJwxCDqt0N/qPQD4ir20iu1Xz3ddFqoSuzZdN/tl4OmWLMS8dOT
PXiJTHT9GKJjcETkwD/VU7tBigSgiA2GJR0ifX0d14zur/6kkn9oiYL2qV+vpVqX76syJuu8EMfX
gjjb2pt0QIoiUu5F22jxdoRweMimpt5L0kNtRa+3k2q/hJ7750Xd6wWwVzqT8NS4jX56Z8f1cpTV
BkF4atemqKlWIbYC7N9pi0Fa3DkQL29jb+0G5gmrRJLaucYzvUvwO5yNeuseuxBZeb83kg+cTyUp
Hr9DgiwWErnko41D+LEzfs0K/3kAkJ6M5d1/QHJ8BVXokO6BjWBjw/8GakhfJ1l0Y5WsZnX6aToW
xDr++odeK5UDIo5okGNPa66LpH6S2JYBc9ZzssbBmK3z6W/e2BIqUqpx9hpumtIa2RZCnj4rp07R
5nsKu4w+9XdjFxhHJUFPUS8jxIzD8Du7O4KMcrnGDPk9QhPnMW6L/pIP6UrURNG129hsksdrJQ8O
sj8GdzV6cY9GjUIJYnrNQXTmidfN07Qst6IqF2hSmbheWQRXz3FsSDsNG9wllivhywjizPOT8Ici
B68RXPWnzAy0FdIi1gpP70Pit4gYdaF8F4Q69tlQ8nZu1SpHPRlztNjk9ElJ84lHx1ZuiINmETao
lqnYbc78ttXvpYbCAlYJlsCCl9SHU7WNT8noHURNDLOruFjEOR89VJZ+fx22bRS4O76qJXcZIfV1
b4YShtWB9QRG9GyWXvsd8Qm81lRnvMMmD3qc4+ELkPTZd/fUWQhsKBi+L8Y4nwJLkXn6bRH5a7X9
O35T/aJWyI+GiLFCOgo8lKlh6PxlZWaFap+guuX9AAioLOK2hDwBYP6i4XQfqjD5SXv3uBsVd6Y9
JCsIo/VSC/sEoFBSH6y08aAkhv1eK2J+AaPu7nmfSHvWogTDUDRZFFnr7m8d4ki0iXGi+qXtdu6X
jr8bfGtjhUl8r7e2qDPAYg9045jrMIoUg2hv1OrtXSKxG/R1SX8drObB0Tr9Z9l5s7wiAdb4iYIu
lqcZh27aTRlWhXVGSRoNnWfqPksEvIOn1uuhaDVrlDhUtlvX4dNA0e4AeZxFAYIVXWiGmwI2IUpW
SX52CKgtkkhzXu2sPg9K5hLZmige+CcmjpnMFSwxT7GKwQdELFydW9zKiQqOBMmmQ7j55zBH+1qM
E02DC2gJKhnTXGQlTA3Gd3JRzqHWeNbGLPGXVYYgnTtlYL2IQs5rmTZWBSWSGxcNReeLjcPPOgqs
AlwtbWKcDiwdXx9SHqIqis4upB3ykK+3Jr1vk6M1asjf6AAdy07d8ClhN8uhtEUlqfveNPei0DXi
dW4MZzmdlg63DnEk2ip0Gf++uykjlcwVohBfzquhGsMNrbT3Me7Kg+l4n3rcKycIlwaULmfuYWXx
qIxe90CadJmEhnSfy1J2yB3Nmyu1r3w3LR1TBVt9scbEACzjxVsYY/IDk8uHGKBG5FgMA7sgCDBb
HSG6VS5pEvYR9lrPO+W7g1PXXAPVdkYCMD8w+4x4LNOB12Iarb0RiG+qa+Y8I6ZxjIbUPw6migaU
4au4zaveiaWx/1C49R15BPlI7st/UDLJ2YQW1pGiUxQTthmwtXwUtdsIEuecPp311zXECKSe3es1
6pAUVqciA4WL6IhlUOTau+thmCn2jmAwrb8d9neQWCTIuhpxBqORnt0W53i2ccZG820JoSDcXnSU
5I+i1yz7hWTZ0oMfpdJ9lzRrYxrVplAz/9Nr6w+wGPh6JjpcFhwbfK9jsq/9cz/p+lEfSFGcfkaq
095laovpRehW3/PI37eEnv1ZdFKCpCQ65bWHsLbUJ7vJ9B0wqQMSyVDlAtTrFm4eZysxu4Gu08hZ
+fEuaNPMWYV1h9uxhbq/iYrZ8p+//sQP+A3rxtc3NNM2IHVbCJyCRv2CupQUD5hxbGkfnibtTfw4
gTMEUbuJEvQkr3Un8KH1F0TL+7DONtdGsGD5sSdZbNVDBO7a1/y7UUYTfxh404pT6gjYVwm6bM6T
GOIFTKo2RT5yQeQ0PIs2UZixg4tbQIJQdBhTr1Wq3roFRTZ0/2FxIkRvb4DP6YaBDNd1xzQUgKbc
tz9v2BAnhTPiOvJjgtUUTpo999hAkpXRXistb7Zp59kLJHH011Bmj962BVsoQgSPCLegiJTrr/C2
g02QafZSVN0m+xFrFXYHtiRdLMN7uJ6dp9ZKxwaMtDDXxtv+UslHHVnatPuGtXG185K82sv8RQBt
TYfXOhIm16PIKIAUGflQ7euskZa4VbZAzbKwPcPgnFcGuNCwMfgSerONbKPFwbyNbMgJlnUtMBXr
gAVM9S5EqnTMVQQHEmkA6898r7seWbDaftUVv1qhOtJvnSwvH3hr/BADSt5nM0uW7PtxjC3kvspo
VeHy/IZ7/VwPnOi9qvxoFfW81I2xVp9ghsqrtMq1pdyav1f1wQRapklIuerekbSxfxRHovDR956B
zG5WXzqC0UuuUb0/gnq/LzMEO+LL7WeXD10GhWUQ31/ZE4rmIVrbhyYWHXZpngwQ7V5rlsc+kc+g
cQdUXGoKpEYRZoU8aExV0YFu7DIEwXcd5lWdu/U9kLAETUERyVsYWbDELyGk90tU+s5ebhIUj2z3
oo+dexkUaHuGhxhoG2fw7mXs7skHh8FanCEGjp73whRl7MUZot3EMomriobUQ3ViuqqoiTPEVRMF
9N7tKv5QanOQfcFajEOrYVcgjadphbFDJijS59fDqS6ORNHZvrHr0BRMZ+IQE7WFXGrGpomidPXP
rx1FnUgqf94GQn264sBQgjBCwPDPpxDiN3DOwFB/4FVXzgO3iM5JGd+T28UDJPeisyjaQYnOYQBg
JcvtfCXaxFhxVNaWtuwUZ0Jpc8atoy+6etv6w+uX9qEvo1PePXxpjqZPV73wUGeDv79dRgyrpFAD
sqZJ108XbddCa4EsNjVk7r++768z0nGjYuc9+9KBmWCEXdavrys6bx8mKRhjp4q0v7WTXkl2Pqit
tdC2GjvwKyPm3SgPTlpX/3YoBrgIggP1mMb+dvjbWF/LCgXm75eLTfUagc6FCTYOWlNvIWgR20dx
ZJE6INR+NMLmIei9B83D6aqY4HMAm+Em+/XQwhby7YPoMQm8HkQVnet8RVpyArnYGIcgR/5UqcrL
6FTePTG3/oTXlTwjIyq/xQmkFKWNlMOIOOQj8hB70U74IFx1tZ1vEj9Q3lTzflDbEoy4Z25zXHcX
YtTfXFVJi/E/EHqujJ0/f7gO+RLZNg2VOYT32Z8/XKgyStS1avKDMA932HT7ETc71T5GXbmqcWTe
i1oGdkde+GoSL4kx1yA+GfJbTxduehy5r031IE8obWSsWXTrkMr+GtyPnnMdU+VRchhClwyL26zl
jveWGjXY3vT1SSGdc4EIwIrPskD2pM5FNGGRWe10A+MJPUX2S52KfDRLUOiIdog2MS6q7QY7UbNZ
i7Yu9vYJK5CtDY54nyqdsRdHt0K0mb6frnhFezPRYalFXF4P/+6837qNqBs2ksP2PcDY5Mv1v1T/
7lIFBKP9gL7333wzB7F08k++ux/lXsLtNpUO4igIquc2wgr1SzvKwb9GiLFayZrfyfRpMUbk/Hb+
l3EdCT4wpSbKJX9eIMuKKVM9NVZeCuicb4v60F+N4oomQUG0cKyT3xgYUUadvicoF+5HcGNVVFZo
h9AuOm0UO7Ff0wJEfKdxtzOIN15cVx7Wt6bbadex+jpwH4hnyweb77KUpbp7rlXjTZuC/VEPxYDI
yrvZhi0JdL+Aq687dz3e1qVpF9/sAcWveCjZUzWFdfAry1hIumu+OYSmRKDDjPFtlUhpP/RqB+Cl
CBH7Dv0FNGr3rLrjJret/FmqKu+cx/Vb4mbFc+hF+aEpQCOIahOgcJBEyI9exyIsugYQCcB4GtyV
W8kiMYvog5823Z0G1nU7yOa4zg0peOgygvgpmH7Uyd5Cu6/IISgkYaRghK2AekYb2g2Rdm2a0Zvx
PteRcDDDUtqINiOsRpRW7OsJoon0RrNC3rdZeKhR3IsruZ52cYDbH8WIFr/5RUdQb4kfSjc3HSRT
2qFEaOX6xusBscwsl7jXoBQEL3hTikL03t6Mt46IuQWKUrC7NXXiIrcX6u2Tbm1iNKarvy7vbpSt
mLe9EdnGrnZIxop5/VqfJvdBMcjiKO7x1nSb/pW/WQ2IcbfFwZfL3c7lT4Booqjrk7zpPy8WBOHs
j1euwebKnP5TgeAg4vHnK1crY1A5YVR96EiOY9uTH3BiVFfgRT6Bu47yyigq/IXFoee81Llk7XhT
yh+ehEwbb/Fnxdfkpdsbzr5yLEya7VwHzYS4VhkV/t6CmDRTK8yXx14DsZeoq8CX8TpQ0nTTWjpm
b5aPcqvevOduZd5hdBxfPMd7I6x/+ed/65QD/XNdBO0af3JUGHUFjvbXyKniRLbaq3L6YYa9Pi/D
3rx3IxSlI9+8EzUUqNR1SuQCrSkcXWGtZhdPYTMmepMOrf9YTaAdOYh/REWI9DEahSATCncvjnKt
O7fySCBqaifjaSIzMh2KwhiqBRaqMjI1hktSwnR3cLRKvHhred1mdX32g54plyjEI0QVb944iI82
ZYpeE/abfK4ReAfPpCCSKu3FkWgbdTXcNpa7vjXdhomxTdR6gJKmc6VyulYQtCdvCIonFmHGyrKD
dIWppfSMzhVyLLoL+Hmq6pryIqHpdxY1WUUNZayfkYnU7ppivFSIqW7++TYpX9PI7Jsh9GIZb8us
bTGN+xKsdCUFNbvSkL4HkjFZe0nftLhNL6JwjT4mQRPe8TUdwjpBIh8DOd0giZ9eoNGml7LxknNk
JFBTCteDmO2ZdwGgjqDFv65p3sG4uGdxLWW6KqhSUgl6ebp9hhFwT20WXOJ6ol0KyidPSRfo5IyX
JkexPypcZ9+4hrLPwnpcxUAB7+Mw8ecgzbv3rlY2CUjTn9Au12ls2u9qZ+JsajjewxCONbjD1N3L
kVUv2xIQq25mp1s6SB8LvqqmRL+niErzHj6ddhAposFJm2OsFH97UtDUWFMGnGBNJ4jrov/bHKdP
gQahwJIcot8/wZCKu2BizeVFVt8nSdGAnypPQSTX96KJh2JYFj6GLqKqtE62Iozi9VACBss86G75
iUZUdtdpAWwGzX7oeKpeS7MC2tkz+6EcZL4WfnNsWyd86JHuPJfgZCDh0N4mPSJOgx1vEWmFYh3F
SGtLWbbXh3hl1p10vBW+bP6qlnX/5EYtMfYHX221PXHsX4Xq6to+bgykAV2v0rcx6HfRJoYMaAPv
fdTU1pHMzhk4XvOifpRWq73IwMWOSQHkUVQlgParUsNtwSwD7aVkgpyAxd7p1zmZV+j3Cooia7/z
i5OtYW0b88/4qMzjKOfytwBsYmdK7aEtm+zBHNjsyyFq2MPEuAokfWd19fAE+GGTkHP5ppF9WUpa
lGwzDLZeQ2AIYjxCjAg+hbnOAovTUfqeTn5LsdbcEMht/hNNU1Hlr7ErnjoLISKiOY6NKtzXpbjh
dXmZIET23a7Y0Wi5bZ6VqShGv0dXVQ5Xoq1r8pJkooyfts08cRvn23m3d2P3UHRavQe6BswdAa+1
NzTOS4vUXNjCVwudBN9t2fbgwbvDThtSpGhRyEwNkwkpNbfQo6s70VTrobNujUqZ3dpEhzGaPMBx
e3RdzixKBw2mBGVptD7YGiUasAvSBd0e+h9EiBYciah6Xh4WROGGbn89FK2mWakuADDG/9aao4Ed
h2G/FR311HsdPZ3tYKE66VGa+1ZHX0GX3PxB7338yCObWN+QyvdeadazdMTW3YD0tAoh7BxE4TLw
MORpMQkGpItbmziyp97/sk2Lumjvmo+3UWIoObIBb3A4OH5eyaQgAaJJUiGHaENYmHmbrro1ps2K
O21lTBQrKlcBojI1DSi1naVkXGhTTTRVbRrvSEwAS1Pd8E61OqZ9tmXQ5Ia3Avn3je5pqOTm5vDm
A5pEPax4dOMIpV8fWpYYxo0xZqkdBScExLT7tkS1djodNEy3LGFkb0UVFw4bzeI3I0TgEripA8B1
j38AomlQCh/rqWixuQHd83Bt8SFigDnPdz76GucoTfK9b9R7tW9KbgEFyLVxFvtduEPZsHyofE/e
lSEYaNELBhZ0gzzkW4mFw2IIveAETAVVoj7O1jUaYvfqKDszNqzu9w5TkgCf9E/TLF7IaZcvaJkY
C3k6qfChG5meGa5iL2hwCykjNkri0ErZM10LiTz8XBxqsuuu83DSjxh8uKAqSgZkoSDa6nDL1rmH
pY8tJRuR20lbMo4GOKe1SPzISdptAcDsbFA5LywisGSBoXl0fXt8IKB5SqeNvOdCS4hqCUj7aIc7
ox+tO1+vnYNiSFtRQ/nNuhNHtgxZAYb7yY4DshJ2v4rQ2R9n4p1rB0O7qdXgTbx3jdR1fnWIegJB
dxxydf/l/RwY2n3X9MYMSnbOHJVg2w07+mJlYYZ5jBo8xQ6JXpDs/hv81x8WTqQffTbsWjuBjeh0
FykCoNxM1EQTg/aTKGy4H4fQNZcySnDatQP3DveUpcprMELhvXZIjaOe8qJdO6kjH9xhpLAT5SCq
NjLFDdgG6mVlVpvCyhEbn8ZNTddeUefxkK+niHH8xO7EpfoqPgdlnC2gCOrzMZTbB1EohOaBfd2b
GRkod/IH78yoXIs+L/OzY65M/uIMb9y0fSjK8LsR+zB+NEKAuW24Z1E4RVgh6Jcy0/7V1piRdO5c
Z+UllXm4tVuRNe3h2k8+STqrcsEOjHc5Kge9gUfY1CgGy2kbbsswPUVWVm8BgsSvg+ZsaiMh90WI
9Q4ruO+iOQywwIqSulmJassPHUKzH5zNFFi/U0sL0V7b6OqRRYdHodjxK0QBZQ7BFsFWxWPbZ2bK
t0zKHSKLvAhSXFjv0IcEUoYq2rsbkYYHvuNdwD4BW9A6l+/bdit9aINF70r1XhQoEmqICv5V76Ux
xbep8Bbt1JaIbi/Mm32Ettxeya1428SqtCxCKb2zHMirVSkFPyDLWn3df5Dj7dFtDZpzFlZ4feF1
sNKi2Hruk/4iRgaq/Bx2jv1kKAOE+tjFngKZgT+v5dl6RGg5v7O6Udl3sWIVK3EIRhytaHHY6wFm
qI23lfH12pvtR2NxZyrHbLeWZxZPRaLUCxRxAlxYx/JJdgOoCswgK5at5VM22PwhfSRIRK+TdMz7
Lo4potdCqmVbmXjbi2qV8ErTlX4id3Ou38rpoWlZp4hqyg2z0Le498YCLHXa+p8Oso+NO9EzZZfQ
hW1b30IXNcD/y9h5LcmtK+n6iRhBb27Le9Nd7XTDkNQSvfd8+vmI6qVaW2fPxLlBEAmQ1YZFApm/
CRQ7fR7Ro8Z9TnH5brTZTsLzftMhnIA6aRxZp2LI/WXnZOoNZoIC2TMfvle1vG/wQvwWqfqWApF3
MyvfvozasKReFKIOLUUfyC8nRxXFsxtIcZwyGvyoslRPt5Rgh31m8IYZkoNoFOp99yPRbRQrOXRT
85giuThNKOhqAljwEJJJQ8iaPeWeqSEPXO91FFBzyMEm5R3c89ZSqTcbje3zWTQZ9Iptm9bfHyFx
NOIthZRlpmykJKkXga4N3xLVOQPEiW61FRR7EfemeChLZykanvsW00BIrex3YVLPhTog6dXsJI5k
q8xOcTt8jQ5TV8TEqIPYOOLr5fiuV34O1V82TprZV0ekB1DCzKviR1tiLpmbyceACMOqUpN2a+SF
+gyb97s6sgIGLrrxnbo8wTOBhzUdqWS/FmyycXBQ2YjMJJugGLHNkOKWZ5Q8jok9BsTJQwVXR7OG
dC0GROx+BUMNni2WaGtdrQ4OrzEQusEZfB0168KezBXpDpXX3bsuieuZKeWHruxdDI/KYV/nXUF+
xIouY44olq7K/Ohsl2dm0zeXqrZCBBQC+AhBqL3Apy9IxiUIhv1nVyrNbuXCcjwk31FH4CYuEu0m
q1nw0WqIRicpiGJ9kqjti1rfZ7Fc7Z1mCNYxHEn8+KgKYSdBOjjwoVFYRXxuHf0VI0B5q009EUL1
LD7H+JvMMYovVykq/zp/FoYTPyqWtjL9YcviaOem/4Qi+biuTUteAWluPvwkBk5mNjclaK1DLqMj
riZF+1FbeCr2TdAfA5hnz1A0j05iNx9oIierHrmBjTgd/M5MatPwWkjhWhTuSVDYmFVQtxeN5aeY
hk1dMZCJCv9jjh67KOwaxVKRGv1Z1bG/itsa3zsK0Alwq7mr+/VbqOFV2SGadR/lfwebCkbjQYzK
iH6kWmLf9LpwL1gAgnQd5GMm4xZPId1Fvr4Kj5lJNXfqiZBo0vRj6E3trAMUvIySk2+j2LnIURos
8NTItoiQVq9qgkVZDdttL7qx2n/HNdA4iV7qqhtZLsIn0cMLwLP65llOzAD3DJgYaDkdqqEzD1PF
qkVlm0PRF03QoYVelFW8fEwUA391GwvrH7fK/3W9x0X+mvvfrlkjTjCXu8ZnHRIbaG/hJ6qVkHMC
Eiv4j7JungdYpi7l6A0HNvMTrQDYFFqAKkNRnYsglj4qrM7mo6Z5TxAkTZSj5WE/xDl5aDyfVsog
Rxu3J+uL+n6yN3KK08g7DN88IzyXnpTfRBxG4Fc8VeKzwTrpSW2/10ngX4qetFuOOt2P2ihOFjbb
r4ZbsVhP2YNB2h1eS/IPYoJkxtPTX+/PAXrMBxNfEb4fXvUjNYJZDzbtWyKZ+rIM7Wyn+HH3hL8G
ag3Tte0w/PTUJH/uvUrb6o0Vryru8Y8xQ8xomqBhozdHriKnNKdbpxyyDIrpDHSxvvGzoJtR6IPp
HoIFF4Bw0Qj8t4CKi6PHwF/z/uqKyUUAl8k2e8xEJoD54wJ/Xe/xGSoLepB5Y74ITDlaGdnQb7Cl
rT/scpW1DbprpgYENubfFCo2doUQY1vXGsiFaiOIhgI9hGlaktUHhyTKzTXjYJdqEqzaeij3fWeV
+0COqv2j206xyJaaSTWZQ9G/T/xzyiOWZ5A5s6h0F/9tMgZ/waY0YFQqGUrekcZdgGjeranCn35u
pMdJQu8GPxx30M4YN7XkIhCNbD7idFmdWFjogjnmz2MsDDPAK+EPUtnGYwiTAf+eZLIdMm9hFbzd
M0iPE+79UPL21TRZHhFY5ivt79CfmlPvalBaU8evoykm6WHxW9fQ0Q4G56CZFtuSqRHdR5N5AN9r
5dcj8tcsSK6oP9Qx5p1sF/Myq56iCRs3gCUCzlc3O9FVaklncYkvptNh4WWWdgruSvoIOwA5hYYU
Q5DFylHCdXUhZU76ERdI7kau+Tn01quG6dZr6pkoG5XoVISJJR+boJAXVQwZvMsTaadaiHRYLnz9
VDOls6m3X02vQzbt2LWskaHxLmKglrr6LDcr0RlC3bVmeEl3K5J2uwoZo7T2SujvcvRLqdEgdOLf
beD/CmSbWo8UsSvwxxFTHXnYlWOHt6jd5U9AE9Gb5gX9I+5jZnASa6RLnTvmu1zp4QK++3BuTIDk
Wq8vlQAPXhdHU18a6x/4NgnEc1DY1hxBnuBkTqg+BVrOkOFTq0txN1P1VP1Rj9LZryP3RakDfW3I
8F2pKJcvuu0+VamZf+st4wVjnezJitr0SUYGb872FiOgqSsGpLLaJHAyTiIkWQm1bMpitfbGbhkU
gJJ/IjPwViYuZBcL30fN8fqdPEbjma1hPw+RUfmpZ3sbZt5n0qKzhiNRdI1dqUB2PajWDuXjm1+H
iBFNU6rBXGu10n1A5TAhxVkuHEXVPnS87hZNO9YfRosl7PS5JMS5UVmj4uNYmktshrpTb45fTQbY
aQ/fEzrFP3HH7kOSSSEI/4JtE+zSfyY/5gwd5QIMLvByiIxr4MrhWuhDsdSTF3nvJ5t7167seezz
S4juqITpPHRj/KImMSko3DIS3LIDSVijW1PtL5SoPIrRoHbfSUhbJx6lwSvb4FPeW83lfiHKzl7i
RU/iRJzMJ0J+cm2GHoL79PLGN3HTRdhBi5e2iDVdSA2xNI+PkIgDkusKssk11pFs+EKYDCUiDcA1
vyv15NZYDHGxzeLxJ8DhEX2YKjlnBV8UNPKKV/xA0FiKKudzoOSqDhkQjkKrTg2Z5G9BauB7MhbN
k+tOG0EJqK3pduneIXmxzpUU1mfHg0MGcApv28ae0x1AthRgrXPHCJ9E4zTxVgbBc7r3goo8rSlt
8RuN7hNsyRjXWohGlIVIqNeoOwwr+qNoXLXGS1IcDs57O4arsfLc18y1/H2Hbchcj0bnNUCNa6Wm
lr+CUOu8Op1rzbm9nK0YLbX4M091+yRONbA8b2TSZSQ+8K+KsRmYzjHtXD3kWoTJyNTFICTepEnq
LeXaW7o6S5Ox07FkwnVBWQ25VeDrHCvI0Fa2wq4wqLDQymCliaHMyZSZmK+Jf0Ey5MrCi9Gvq1gI
nZXGbnehllxFLzO8+vyfcVntJr2iaa4ax52YizVpdZ8GZvVf1xBxEeqDocMuqn7BUWEpNkNUsdRl
21BRttQkeOtHjITF5knuETTIsnLrTPH/nC/ibZllt9Jjy2Fq7r5pG1Dk05GaAC9XY7g6UkSyvB+k
cZMVqBDd79vp5kXdVjuMXbEXIduynYu4ZUuI71T4tkVeSCXlle7tf13eiQG1Nn7l6KOxLvqP9eRj
KdhEnULuGbvoynwnaYK+TyK3Gxep16U1dbEZP5MfZSEUh+rRqyj1iLgWOdzY5ci7TTbTW8s6v2S/
4akahu1JAMlNh12C7eFHpErfoOEbV83RohP+HmwEprhps5Bja56T0HJalINbc9fJjrvj1iPR/Ye3
USloOcTRUCPWB7WD9YZ0cdWCu5ye4H7kSAmtxk7tFyKWWAZiByH2DkqBY1BZqpeyL43nMLZyZKnK
Ys2f13gmaS7vCxM7Ti+X9Gcx5c8JPeBGtsohgEVHTm69WmELbGG4N/UipJvnWRLeQgkf7Kqydnhu
kbZL6949oQjtQjNKLr2B4ShV/12Kns++xS6H9UN9RMgoOotGnTZekWG9u11bbUUonDZo/tSYJLXm
4B8jCjQ6+9kRYbZR8jDASbNG2WkI8ty7In+oR/kxyE0VFjkpxXJUeaDadgEHzF2zCHKfRQPA8U3r
zQJaAdoLY6RgGKxr1rKcuo3LikXPpW96hF7AHLb+itXVcBFzs8BBtmdspPvVtGDKO1uhAZe0kJ6x
nFWfx599J5slSj0ZriR60O76ujNWTumYWz18TUGh/JZduCqOUb97Pm5rVmp+mkGFa1yYsL0Oopoi
hm6eZCWsrmWql1fFb+6hNG3Zj08z6r62TmJQTJtCtqvs4HbkG3aAAMqgA9sHy8z8chEowbNcytmG
BQ2MfHWCPYjh+8xCGcdFr2mImDzOFJMMz/uMukaa96TVnspKuya6PryPMlt90kftSnThC3yLeXjh
XjbeZyk1OTW7BnYesFGcGtY03IwjziSPWIom9ZYKaQGNsdYlpGdGBPRAuvY4DhZdFezd3vT3oiua
MfNSykrY2RRZzlJYBJVY8v2VOIxApJhzcSjOrFfUN/NNXZkoMvpt9eQVPvxb3Wo/AQpxoLY/5FgG
DFBq1blG2XXnKbye3M4EaNdK3yhNtJ9qqLIXV65JjEJA4iWNt25agxJ6QLXfTkv/SK6OBRVy7Ret
k7ulWqbaSwuDIYkN+WKksvbS04umnhjrYNyIMXmaOY3lZaTcx/7f88SYMiGC/5ynOzHYaj/y51WU
V3OtT6moDW6zBXPdrXkN5M+ZhstoNoF7TMmb6eQEQ7Ne4qSq/+hACSEqmKgXaSyzfRcV2VIBwf6t
YG2Wj9qPxpv+5TK5jLZF9AnQJQ5N04Ci+XNTYStUdnxpUF/UcPeouUELi1fhdO047M69JwWvvkLa
RO2UDMWUSDoA6cHv19Px5ZxsQ6u4/TrqzWyDW46/0bJkgsFMUx6j4uhxmq+jRQgPIjyxXJ/1hWa+
e5Y6rPMo6jE2j933PlFwY9GT77ym6qWKGsvO5PF84890MXnwzTwfRSUcwNqbW6IXWEY4bDmD1N6k
MOrJnFd4Lk+jrVzBRyQdoaWWixyUjWhmo0VPBvTaGzx5EsGyjiv5nytVFujtbOoyH9lwrdyXbtQc
EsfR5h56dfNcdCuLf/7UtLap1TNxeJ84BSMpfJ2E/9ci/miK0buCPYNqn5evPPar3+WUc4DZ8MmS
FyO+wIlvuYnnkuE3+aHqA3mvByESUVJ/ikqrv7ZWMlz7GNtEA6CACInGQOhY9avmLHpksPvrfVSc
4JesEPCnRAfon2sgh1IfcYTdPa4R6Pawd/zyVYQSHiUnBUXiRFCBgWtb+3aiCyOdY+0f3UTy3gIZ
pyZPMIrFACh3uV7pE3tY9EVTRXhsNyEyn9MF/r7qv/ph4D0Vqm5DSDeSjQKkdqFgmfOqq8AwTKRD
MFmvlddWKQqgN72xK0Yl3g5Tct1TQSr5aZCtECpMXnzLGddxYyoLH/+slzAt1C22ftV8wNLrpTUi
/2CmeNfduz4sJdXJXkSvkMCyOkVZz/H6LvZliN+gOHo0UmBTIhH9kFoWxkTTzMprin1YIyGD1Sm+
WVJzw/MbnSM0yl6CKqx2ZW9Hc9ENTSPep2qK8ryc9C+ZjxSDq+uT7Q2TrV6yD3gzTppPRvfSBbZx
RFLiZzr1UtIdpzAcXsUY7pPa2Qnyizgx8lztMnj+XozFemBcC0taibEsz60n10NpYLqKk/LGq9Nf
Ygg9zegF0zlURINhHqK2ZCX6TcxLB8T3SjKi4rOtTl9QZrcXflOh0dCY6YvboaRjUKoEO5+9jH79
JmdOdRJjdggoVg376CAG+ZonGKuX4U6MSlaAnxcr6o3oZi15grTv5ZUeKtT9c3uPJEpwzP+zGYZF
K3fKQYTHpszJUOvj17RQIfGKhMOi8QK1Wog56A0wByuycROr5fWrK04U4+LssAnllevr6Fnn6DPk
ZifvWA6Qc+KVDaTHiLWD1qAciKxxgTSw5vCvmoJdUbqgMMUkROwXujySXOzU8fhoxt6Tjyra6TsQ
fltl6olBEY8G8t8wxJ1y3Y06El3TcKrAYp89JpE/D5ZV2UwLGul3m4Nuo+QLbhXn40XWm/FBNL4H
TLq9s5VEazd1ch9KivQpGCY548cccShJYXKw+GNn1tCfIwtDdTXwcrx4wuo1KHi7947hkY+hW6rF
0xjJ4UX09AY7R60dnlm9sNXIDpGHZlRXorvqqhTIg1HSpieWfvURV14NAWJciKD5IbJtILW0NpsU
lbjn5ok1KfnJ1M3ufaV0zn5ij4dEV/WruI6d8wJPtcs4XS9Djf1kDC4AbD5ChKAfjbshqn+L0D0+
xmiW+Jh1iB9CxFo7g9bbes3Sb5VspTidzqqJZ2Q0etXZG2GL6i5ektOGq5waEccLEsFzWTuKqXrR
dcaMv9Q99pgmzvozV8TR5C4Oisp936BC+c11ETRQMvm9D6x60zdOvQrh9om455rju12O9cZAFGmF
0lIwY6HiH/QCy6y6KPR1k7Tt04DR4hMuWb5d61cRYYWC72RXINs6OujKI4gnU1MyKkSwrPZJB8R3
Udj/30cBBEHFCVBoFCf7SfSrBVi7MJshem36YtuniXrVmjiCWIgqMZu0ZwV1qBf/uwhWuDI8l61F
8YUT0p50RWbWezFmst4/O9LwJsY80rVHnBPSWVMH6pPdGq/eWH6qbtbewsIzn3OcCnGfredc7kVy
XOmoT2NmXFkomWb1RkxFTH5cI1ZS8bBgNBld5/DnOioa/NN1woj1ahdAHa4U7AWnnVEx7ZbyVHtG
xVI7ip4n1+SC6r5bShmbJSdwy9M0Xwxm03y5Mv6eT/62Q1GXQVcby5M16GecdwEtxS7SbnZv78zc
iGZ5l+tPvKR0/Ep5roeDk23r0jeeUkX1zkOOWu80KKb5Sq8vKo90/OMso3vOoG5dxTlqrjXrMRpw
3PlzUq+UT7arhkdxjovB8c6ePlifZvz1waLrheEhKoMX02yVc2mU1UKOfPcVuZTfTqmNv3ztlkla
DPMa5jGyp+NHHXgNaBXUCF1eM6uiNMZ9lLkk1iQ2QRkIyWtgDagyW7bx6uY4N6ct8g998lxNTel1
MDAkEDJpFifPmBVVJzUwDqInZlhFZc0cR6+34iynTcJDOTg/LN0yMi6bsWWOCjRUdavbwgbOZ2rk
Ryckd9VtYrVnEBFIPJaiDVzHOyryh5hxD0FEjE6iX1BlAhknI7tOSMTNkc1JGhb9Qs6a9ozYIFuQ
OCo+xkpDYV5Whl1Vae5bV95sPF4+xg418A5p0aURRAU5yBiKSDRWPEIleV44mJ5nU6O7KCb6o59v
RUxTFBK+bIMa23uCDpc9uSRhQXdk7UyMiVk5Qg/QFIqj0bXaWZsaIzXaOX6o4UrEKsyXz4hJaGfL
t65sXNTdI1RojX4KlKtasS6YidNzoOJ84ZM532gIJp+jGRkH0Ug2AnEzcZi1BYeZ7g2LhN3R/DGp
6puv6dR7DVag/3R9D8cBKrNb3Q1/8tz4hTs2xc5+HA+K6wd8g7P2GcKvRTlfdr+nJo6Rqib9Nlpn
JaHv9mPANGqW1InxPPgRDjuSZR5CrVJ2AXpKE6zauyK5sAsND5yWsdD6yvrw48ReKchwr5WpiwUn
gDbTeLM1fHbDVvEQeKTInvlIUsSjq22MWNLeHC99gXBnXNQ+DW8j1VURriI/3Et+2s9F19NcZ5G0
if5/nqTlUTo3xhL0FsnpXPF/mD5G7nlda3wbBqxSUm9GJ39nX/mhy6BqWnzFnorCPYgwRlwtdlxl
tWyCuHhPkR9E260zKTD3wSuVmPvZvaqSRrSS5hLbya6nGPNBKgYFD3BCqzgfvA9t8C9uByZP4jF6
Jo2P3egUR+1GWfDFmJKbnv9RjJghGPm7nyomC40RT+Ksx+K2RekRvOVBxkP+uWXHeGwVFUfUqbpd
dqSAhlYLjyBnoxuvl70oc5eB365GuzbWojgO22veUeV5rUG974e8RFVzKqaji1rBAivTs46Sx3UY
kNKeLltkUbJEAgko09TFMbNxi48qRo/KMutwKSrr7eh+UNnuyH1WFU9UbI7FRXFvDhYG6IBtNfww
ECQcZoo2PIeRj6EEtcls7as2UuEwgA6jQR0hampnLde+Dq2hbutT3UJh6MNuT3JVUbjzRCwLjjVC
etnUM3SU9lkPR1vJHKQ93rPoaHWJcwuKQTobGGyLXqTp423SPJmG7LZr9lmG9jAJCrg1ENYOWUmd
Pmhg87mKLnN3Zf57Yjs/89aQPl23mlOsCPxZzULH7srhJ7zjGDmKznhFOwZvjrgrgOb2LeqUffk8
Sv2AlBYiiaLbwtO9ODLCl4pSk97WQGumEBaWvua6p1y1W6QE9xEP8qeg7+h0SbGINEQOxJjk5/3R
1wsoiwz6VcSMSPlE4D46RFAKVnwuRS3U+ud5y/5iLBL9nDeycgeBqX3xO5WHBP0AimoWC9yFAIcp
bb/CzDd7U8oq32i6Aeat15C3zEi5VtV3vsX9MvYhV/No/a262Jy0doGLcove0aLSBp7AGFFISm/t
RAN9A0CmOGQih9lgWrtiav4e/9fUx/ka+pNf54ugOP0+XNbkC4pUvdo42sz6PGq/WzKwEAsL1Vl0
sgu0JQBq++fAkfzvqpeqs6JFCLYs4D+DhJHPiUw1HrfhCAW2stpLIWrHmmzGuzIx3CuSU+3ad3xW
zH3tXkWsgw0x517WVu2kYQ+DgfswRn8nzcdi3QB5fh9K87uNwtKlhMLwnCba2ucBwW61wb9uNEEi
89wzl01PkggUQ3Nw1aqzj0MOjMHxu4UxUIBMwX481YAkNrKvZhtwN9KT3/Edylk3vWDVjeGahi2B
BivzbZzU+lXTiI7G1JUcaVbY+Ikg+QPEtLWeRLhOe2cb5Ym/cFkrvPGOdwHlay2KopxkO8ZvSKrO
SQyKkOjWWbfX4b+/9H03bpwuspd61ygfZMSOTesaz2qq4L7uV7eot61ZJrfhBHLgw1UlXDVZ7yzV
qQvGrtyUbhpBzaQLMUHaSS6VcASughctyL2T4k+6/cZHmvlvsjEYt6pK1RVYsWxZ8Qe4ae6EpLVK
3E0qybjZFCdOeh6+xF3lzNS661dSqR0aA9GZdkJ4pgjUAPANo/0woT5Rk/K2YyxHoAcYFfPCGn1W
FoBX0esGFXWEBMilXThXQML5DpydefGBAnDfVv1PpSnYXqTJN1cP/SVre5Y3qi2fmtzAGHiakaMq
J2Xhz5qs1byyqce7I6gOq7RUjFyQbaqwiuyk8WQWwcEtq/TdChUftFjU7AwMl9473Z53vIZeGsts
T12Ohr7HH+K9jQ13yUpUXWvlgImXR34E0S90aRUgLlnrL+OC2zxQEaawdE06hSA7d33Oa4bvv3HD
CQF37yLPr3gUhptEk6Sj0ylfjRwXTwaaHNtHvAZ5Get9vR3Q7IeB0Pcf0pidGzDOv120+UtTjn+m
ARk9swTsBAcxWrUN+0S5l7u9OfLBspqYT3WuujMV4ZYfVq6uQtUYfmueuxvIxnyrVPSW5cFzDoaB
xK4U4VEkQzZ+xZ893CHNM6D5TBdzbRNLcJ0q3dRVcQxc+olrrMCnla8UbrOFpVj2ZphGUc+XZqZe
kNyZRlkMweKt+U8gp16+jmBeMzSGr+JKeQMHASfIGzCd4TZouNVO56iamm7cPDPPTd9/B9DV/Hbt
rS7X1S+KwZN9jZK/mNBpltWgp8dEIblv+EmKt8LgXmXgkvPBNzKsYPDqccz6d1IY245Ey7fQ98p5
GpTjNVIDKM5SUu/S3B+OuhxlyF006os2lWptqJu/TOyHprN5BHwmZiS/1nFsASZwMu44GOIxVNR1
j47BxXBAAKshXlUVf0dg/O1OSm+ARpVgW1h1uUetpiKnhbENJRI9KveiEUOPrqkGgKpsdMv+dU4a
w6pQCkfa8PrITuXUVGBOFkrZtQuUKrMT+SUgbGJYqTBmeowE7OlYsTNHjMJqeXHYSdT9NrN5F98b
I/NYHXX1qpicq0SsK1yAGWmlYusuu5NeLt0yDBENTgGsTufKxoirfeS2FF+UYE9FvESIfDocPGU6
RFF7nbnt6T5StG6wb1u38Ffi8F/zffs8kGC5Onq1CsiOvI2ylh6pKQIpm7pB7VUbTePhgFeS9yY3
qrYgaTJuxChv6mI2Zk13FKMU1VHukuRnY8CZaLpkXyvSq7hk0CB5Lrrikh3Vr4Xoeixv7pcUXbQS
1oZeWBu+g/KuqslWedCxECmTg9kjJo66ydbD6Mo+uY+I4F9z/luMBcsGB54jFR4dav1LnSfQo7XW
vjSeZV9suFyxmY2HR1zvexX7MjATYgb7W/sST6jEmkwsFap/TlVL/jSqieWImNfvdI2iLM/naI3X
h30spyPFDr+ORIyt0tfoX/P+2yigBPt+vSz2ji5qrlGkWru6h0+IEhEMWdvRdX0uDnV9ZNUhDu8T
xFyKeerMt9vqfqqIleJ8cfivkyiXWLtcMerF4FsJRAGp3AQtQN0kLr0LCvQenA2FZWUJTKdIHYqP
fwaGyPJOkMnnYtoj7kRozPK8AG5PqtqeieFaxyVF87r9Y54UqsGuCob33jCsbe068sqq5H6nRk6/
aw09RSpt6o+TyQim7a6+fIzrOVaX7K+ZKoL3+fe+iqMhuEBAoKg+zUL5nNrp+N3LzHIpx2m984Og
e1aV+l3E3TKfGcPQV2ivpyzzYtXzrkmlSJfURkGNmx3vxsqUWHb4WrWh9IhbgdcjOjsWtbkHZXmf
LU5hcemco/wmOtT+OKszpJVDiesoYqLRYrDFQHh5qsi+O2vtakqeTizZWVelOkmeyOGblUq7toug
pnrDi4sZ7TVHyv2KocCrnufDOwoCqBOuCj+XX+qX0rXal8ptNY7VqG1fBNb569jUEJ5MvPEMTdue
h2amrjotV9lfIZsEZOlXqTWTx0Xc34IShKYvs3sKQre/sdT1Ng0r8IUYRdk8Plaj80MM4jSnsETa
g0tAHz4Yy5WieWdtaEE06oVzFE3SUOTGsHKo163khNi8Tf3HuDiyimYj67G6a5pIbta1FLiLPCW7
6oR5uzdachUz15WavehbU1Ac/RWzYxXxKzKTLMQ0BDVUHbyPjWR53VreucF18d4YFnLBfTgWq78G
IAyg+lTY8uwxQH7POyd6Gh65X+Z/xcU1XT97HlCu2IoePgDdoXRJJE/cIMH2GZUu2xp6BlfrH9qP
iBts0qCiPYhEzNlqzHuE7kc27KHH5URMXPPPXBH66+p4EO0Vs6g2+KlEEmxmpCsMt9k4URLmMBGa
gTJdl2XbFuclDumLoxSl1JkWBwfVz3n6WK52QtBKP+nq6KGoMyyUVspP5uAiRKwEqbIIJewu76M6
64cOk0OsIeMjWGV+O1xP3gaV2yjV22QpuqlrZAukTIotuOHwTVPCX3gF2ScxGBlPfEusF+a4FwqM
l0KRgjewjM7ObJEzFJO8vih5XBUq6Aauz9c6noOHrPZicu9j0UA5+mqbJvU07gkRrhKjRJYWVy5x
kqqzl5O+3aEPefpRRGZ0EZAG1ijVlQgMnvjyQDqAQf8rkikfIeYQF8DC1R0v8b9f5/45lfH+uEbX
QxaDrrxr0gFMAYlmf1/K7mDOAdADDZsamI31Ih1jnhNp3kBXlJrwkEBYPYijWgTH0WRzrtY+O7dp
khgPKrX+mn+fJU7ALxAvmJ4c+N8XEcP3k0LLjw7NLmNHtI+cplq3jXMjwSvtfb03yqM4DLrUg2FF
cOALyUMDUgNoP6sFYwfRkfsgwHfMwEJ6H5AdmWXpqXc+a9sNF1MaMZ+JoqMoP/73oqQYAhDwVZ6U
NH9Vd2W6050euRAIqoU6oUlL9ud3UbJ7/89wJXdSd/rT7QM0qbG0QcJMQQ2oWsS4rXUFrthY4tXe
+qFrVmvD/QNCgyrL6U/3fgX0fHrEY5IOUufYXZUP0zC0q2hKU22Ooe4Dt/d5erV+JW0Dq0z43zX4
AFaxfo0KD8aI5MrzR8zhGbyoIovC63QpMZBZpYvLNhXGR0yWzXfs0uq9uJKI81xdVODHoRFxpqZk
4UWyyvvniVBp6zhH6M2TOCe0INy2tboN2GNB3s/7g1bzvGoxU2eFipFLimBHwwd3Ia1cGhS7pgmD
6y2kPOx33nQiTqtMEoeuR+FRCe1q+ViIldPK7tH9/1iw/d9TcE6pZwC6mlXfsvEZwTd4jVeeXeDM
qA1PjdldvMHodw2veQNgGrEis17JwOpb0bOisjynmlKcLaf47A0cfx8hMWNQMSpqUPTdDAZSxFGb
S0dUVoOZ67fDWzxCp+wbt37qu8RcxrnkHp26VTa6UsU7FQHnQ2WP3lrL6vIi6Ua3CJMgeRnHgk1z
a9ivcdO3e6mRwUdRILGBadJ4SZ8c8mKvpIFzUF2PQaSCvwbFDFUdwoOO45zMxhgb+PCSTYXFMAit
k222S9ETjcRTYBdr9Wc7eFEIDDXo1rlTVDAWXHOB3bO+qzzI5l7gS2t9GO1bK5VsWlN1XxtgCilp
X5zgZBlGhBgiTcTb+Foj3ZvYVn0WvXvcc3bsBaUDBYhx4tpV31wzMHZihhzH8dVGfBn/rc7Y6JYn
e3MIGkASqhJL8j9XlxOEQLuUwvkjllWxtBy1OFmIy4gLNkUzrCmr8xtN5xpT06cRBmO+j+GK+BEc
WWNtYCo3vcIrb26iTHH063b9+JkbU0svGenTP58vxjrsoNUqATQ//dgihA77/bd7hP78ho+fINRt
SiKhZ27uH5lOhp+Taui/PjO0LDQzUypwj09tA8ldQoX7+g3FBcsg/foN73+twLeR+p1+u/u1VcNj
vcNvJ2aLH1L8hhUyYo8f8n9YO68lOZVtXT8REXhzW96btmrdEC2phfeep98fWZoqRZ85lzl73xCk
IaEMkDnGb7rpEyb17fe7fS1dDgk86n99OnG0bBk7ybNBRU1fhDg6S9KvoVoau/vwFmnHWV9iCQkM
r3gEdzTxXeX8mJuN/UCq7LFSLecN8g2Kc6kLwBLPpdcM87XclJJTpjr60hmxEqit7MyDyXhMVSJy
/ujylAkisp6xrh4kRXsXjWJTAMbQDGe49S9bSPM1AdCVyId2od8c7Dz6ce/vKMQPeecz4bTlRaNJ
zPWKSaYdT65FFdrKg+9lKmZk48Hua+kYTqWhsDpc//hqRaPoZmLAPWO27aMKSRe39pGjsJE8nsYQ
G7XO+2XSWvkfdW5UrRzTqs63swxhRczfxVh2GkMcVesBriBmnuxEsVeG6gS4+VYSR/U1ckaFiVOX
6CHqfLUDfaDYF1EVIviwQUwim4tGUYdm+M9MjmGjThcY16F/tNTqdk5RhbY7cdA+8sn2/XUx2lvk
tc3tKwHsn6/lMAHGr33tnaPmpumpkhQIrIMXnMWegek5/sVlvhFFy4hRci9UEAiBjkfup95OJPfb
ErbjfQDRQ2w4g5sOv85wrzajPISM/9cZ7g1x0fw6SwYJBf145kNyi0ay7CdLoMyEtpl0rFRD0qDU
e9GW6Txi1hiV7ck626Tby+LkOFgl9LJfXzXQBQvyOeaT5NvevNXS/otR4T2r9NrwLczqY2m37k8H
BzS8r3rmhC1ZZaZmHqZmKvAp2f9u6coHnqjSFz/BhU/D7PJZhdezSFAbvUJdYmmqafKJy1XwIGyt
vSVh/eWkdrntJf65WmYJGxZmXor7nZtrOADVynE9E1uFKX+ttclWtPSaMzGOUnLJM7VNhsOt1tKc
Wc+LYAmiIuUnqPmV0zk+QcT7JQXneYXpybxIp3S2ck2jSn8o0B9aB1W+DUolIGbqeGfZAQ8CvlhC
jrGN55Ga1MexMuWHUK6eRb3tRdoiHMt6x6NVgVOJr2luSW/gWZWVo7omiWQO77tjpjZI0Ha6v+XW
UJaimhXivit6+Sm8GqNvQwMzY/yNHQee5YppIkFIMr7xvuv1eF9VeQ1HedodVVQrbEPZdYqXEV/0
F4Hd5stxSJNnxyR91vSYI9iWGT/nErYKZga+QxTbBspVmMk/RWmUahuFdOcojkTzxXhAJX2OUjDv
4mljpxuQJfWTKHRRvka5vb6KY5NwfNa9QD6JEp8EXV7XDw+ia9wBAmwI1W8JH0hPCevPLbdCLs/0
vAqI1bPRegUfPyvVlmMQ/KobE/hcKFxXAIUN4nyiY9irfzVPHc1mzHfukIE3/l2fG1OgoZUjHqTj
S4TbCrDqIn5tpUFF/p83vyhqOTFPLdS9nQdI65U5wItsFOEFuvr40hgL0UnBm/is5S3/Y0aw1RA+
k6kwE5gOiW2DdL7kghKYWgeFh2NnjfZRtI7kv8Ehec8D6KqrodWnso6TV12xg/1YByXheA7K2jFb
mWAsVuIgI5clUL4BiwccVvao97srb2JMik0ofHmcAB+eeLLsEZUaWEKio0jBjF5ZPoaEtYaoUa9N
pJVoDwfRMuMbXonGDnPYM3nGW0lUlU3nzdN44BaaDndIae+V2iDj1eckIJEFfZYaL2SZwEgEgp3t
ZBgOgvmnYlTfUHYA9hNMNHHdyi+RXhhr0x0nzlyPSp/EK9tpzOqxVnVnhrR3/l5Z0KeUKY2uNJhF
AV36brpFPouSTH7OfZNUi66qBLJ1Z9OhELV1pHHCk+QB7slZ9lzFLM34U3bfia8tbiMVabTNu1Z/
j7A1h7ou649NTdSrjoPkqMkZmbuo9zaBbLln39Kyha1EyWtgSj8SyzI+4v56GwfTq6uE1cpbY3Q1
4KtWujqoPizcccSlqY+fR2ytngL8IJ7aCieoyII/N1WFlT7OYG2ArJ4acbcrVhnh9KVo5dkYHVq9
AyI6teaoCz9hYPx7LPJxU1Qrqg+i3XKSZNlY/Mmkt9Rp2qehTRYFcsavjWErwC8CbSaKWm5YK9Nv
CoSs6+qVlRhWTlEPfWLqrCXuisRH+6i4SfkAtepW3ZuJv0+zCR099Yoz7jnoI/16kBtj30l1PNMN
qTtO+hQLufK7uW6O/VHUiQ1QhP4YT5sxrM0Flk50mY7oELIdwK7SIsqqjGDpvVnUiVbk4EBPpeZe
ruJw3nSje6pMzzrWmdXPB2203wnB7bzeHV/yEQOHzK2KNZzM4Iunj3hLxPa7BKF5kaqjfghaJbyk
pG+g9arWexoOrwrmEx6ZDTxP0w5cYxdc7hurdo8VE509ZMbCnkU2BsKjhMW06BIH1q/OXoAGsS6n
x8iE1TQzCdXNCqOuuP9FmdXFqkj4egIjHS4Vgma7sQPKI9gB7RB/L0eUlQRzoKYEpMdHzQlWweAE
32WzCU6CHTC11VPP/4/jxCi60W9tpQzO8ghVQKpIxLtG5Dz4Ruc82BXwEdu8ippBJuiDTE69EG2i
zrTrVe/U41mUYiOKNlWHcpmPCVyKrW11QbS2P4bTYJmr2qsRF6lANcwHH48VRO8TFiZabT6o2Whf
YwuYC22ipjINaenCZ1/EWYVqYxiFSw0CyFEBlW2XZTgPw6h8UbL0156og2bVPA59PgdDEXx1up+a
mZVfrNxMtxYEt6Wodr1g71iNTrKXpxXWMUgZJF3wNRzl71D226sfNRiXa4M1E/2rVEMqIrO6k6PJ
ydVV9Q9Rb+ARyjygMJGt4T5z7OIg6nm21mhnJs02NBLvS6iTnJ8uR+qkeB0jwbYWRa7O+H11XYdB
fDZdBQoz+6Kxfl1dy1Rq3qnuqkJKBcfc7KOwlDMR2ezLGGbGwox6+ejWTrEvMsQeuy6InscWiAJx
muwDNvg8qnv93Ghqsmh0zUXq0sMEZNq7b5JGGrCojw6O2fxZL/rqsv7i6bb/3Lb6XolN9YvbF+iQ
pZF/LJQGerzsZks1ca3XXo3PbmArP0ItewAVl7xqHh+rKzNpH2pjd0SdAuao7ldvYOW3HtPoH4qb
f8WaS3+WSyld2TnBdw2j6VPnjcEkmul+jSQPM0y6onyEo5OTV08Z7O9Vq+PnLUNlP6Me1c9VZeAm
HvQWKe7BBdU26tZWC50NC4xIiAW9jnjJz7pxiL8aefAtTyr3G5GEU4ZAx0ehjrjW1q4/c9ojoidY
FTcm8jcwRmZQP1Z6lpQfji9fMFNrvmlt8DG2vrGRTKdbyTiPPLqA97L8EbmI7LEtCxagg6usRF07
6uUZ4tgmzbrs1gO5Qm/uxDphDBzmhix48NPQOeeBAYp52oOJXy2aOAuWtY2cyNJHcYxfwNmXKklp
Xq+sG40ieri11i68pNCug2VkIV5EurthnL8OudXxrd4OEeP7SqYswz6oV7HdSrNQiqWza3fqPh4A
ykVeVr634Qv4Y+tbXDbuHOlt5civYB51ZIfn5dTQDN8TeMjvoYldsleyDjAHICq53CGvFoXWt1HP
YWQ0/pe8i9pVYIfyVsoN+cEOfSyjph59az5pcDCfg1T3NuiD2oD3zPK5SZRH0QFJomSGqB+Qs6oq
16oUqHwF5IuAYgKvq75YYLI3UpzkqxIjGKuJ/Bf07yf7cKdb2r1sfDWHZhFY6fDqlr2+sVV8Q0R9
KX+r+yB+a7BzWzfAj9aKE5hf4yQxvmo2EYU+lq110XTx2xB/E20RHOcVy2ptg2XL+Dpo1ULUKwYL
1bBKVGJevf9CQHkjTkF8x1oEUrDWzFial4aP1Rlrib3Yy6fivU406H75/3TpdEeHT9Hoi0/H9iDt
d6i642iJxJ/YlCE45SLItT/q0qTLzlxEuCaPgBfR787x1IBav43qtPHjU71aQ7n1vfr4qd71svTY
gPhvI3OYV7CW513XvaZGVV6Libloo+Gz/10F6726Yk5zqyLLVhJEghUrsaz19UFZ5DjqXb3M0Ja1
3iN40jrOKtf0/Oiw0tvAiu33cs3vSVrc3Xqmk++TzG83FSqfR8NFUaeOcjIYEi5+EVrIFz+s0ARw
S+8xUVoUYkMmo6Eqn4ABZOfS1OSVqbTuLE0Nl4X17buQhw0aCaxMTTM9izqx58aOsYMZdBIlzQk9
pIwSvzhWJKSCuEvPt7qwTLAQTOR44Q+D/AgZ3NvVYwmAFcvogrWePwcA3V1FqxHXxcIKsAcVRS2y
u0M+ZN+yMpEfK71sTogtHmLPRbVXDQMyuka0EUVdV7pZmofurTXoxrXuRO4D2VPvqVabhehlj8xf
Sp15vAxbEeAXWjODMZIn7Nzw4Jd6/RLo5TwaNOSYLSKFo942S1Fs6ugH3PjhYidtdE1Zexp1DEjU
0bVlbhY1upcclOBWlZEx2cgZ/q6WaVQPpU0UWI+DYzPJjES1ERxbXv6iTWy8ri6XjeqXS9NUxhgg
dHPRDVNeeyBItmngJmexUfQiWsiFiaGdlqW3uqAeE9hKno8LqAmcceos6sQeDM5yIzckOO91ruS7
C9RelBnIw3xctnFPbmTS4EmcJtmFkJrWMeULxyFn1zYNDyjn2VE192cQ73hh2B9h4f5Um15+SUpp
BJZU+ec6q+wN+ugBWoumfuoU+Lu5lhcvSoizcgiB+gMsr6Fpzk+tDJ/Cp7SUdd5Qg3nb1ImFQl2b
XIsIW+dP9e3U+KmO2Ab+I80sNvyfheFV6skBzwwlQx6XOsCCYzZqCtjI8ANLogFVl2HYi737xjKU
ZK1EDSxq7N2caeMzD4H1OO2GWvnUqmSI70Zvol6V4OmLulvn3/1E671zXyrFMpZ1dyPBRltjtjqA
NjKDV1WRJLQDZWMbVl7w6kfJe2A61ZkXd/CqT1nwuHrxXKsnNJw8ikPGolJ3pAy7uegUs4IF+QVL
gygs75SB18bYwSwyekt7NkNdWSTRUJ1jRY03ilwk4Bc081CEcbzyy155sCCJzTvoJG/daD0QZJ+A
/Ey/SFrNXJjsgcs0xNe1cg7dsX7QK94gSaHIBwWt2l1qS95mLOTxnPvpsBgwMn3pOlbJ+ReeOclB
N3JSAGHVzQhwydECeGt88CaalNNAhZyJstgAyQtBODQjHo3RXy1iDNFd9LkdI8qqhGJr174NlZ5c
/Un6Wum77NCnBVJsVIVTFQgE4xh29VpUiU2nq82ZWMFMHHOvF3vqpIl9q6PHrevv8ZEGW98GlBPi
dElUnW0/zQ6ivzwG0so1xgogluasDQJb+7EIi12ddQ4h+MY/2pWmrcC3RRecrOwFC5fhMRuMmoSx
Vkzv3ByrIs1b2A28Mz3SlT2KLYgYJJNaiFLW0UpUhkpqF7dd20Oh2SWaNuzlQQWCprCezrymemy7
GCS47hKsTuRkLTcdwoh9rm+HpCy26RSZDFFkXI1OGV9ySYSyVe9Jl7NkbspV8QUfYazkbUKLLcKk
sDlTpsrD2p0WUTOAhcu2K5AaczNrbdnDzJgAH20hBTsW4Pi9TUXLb9wZfAnpEMZJ+/K7W2OBLrR7
GDOTpfytm1uZLqZldHMYTdSL0cypG7iWP7sxCzHBCYzxIarrci3FNsn9aFAfA9Msrz5PcLP2jWLu
qpACWhQJdqUTq4+WmaqbzDNg8k+dbaxeHlOoPVNXPU+yuQLWbSO6KnId7xoJuLYo6laN4aVTqJvO
IiWEbJD8mPgoaxqOEb3kHqueZlTNL3XIZJifX3mPRqQk/Fr5IaUtc64YoW1iFTObMFc488o1ywxM
V8HTLKsoKa6SVOnzqoFqXoYtGk1NQuiQJMA7JPJj5jfELUJ742Fy/5P83LPbh8Vbnhj53JIK/UED
Jbeq0VE9mmGkbZsh0TaYprUnMSJSPymiXC6q2W3vv5cZs1PeXVPs+DZikYDemUbUWyefD5NIoQ4s
aivWOH+3CvpUR0as2PkJoe3R2PiQFMNM71P8ZoZkmaA/hEq3pOXJNajz7Lloiues09TT4LbpM1eZ
AW40iMhMjaOUIXVna+VOtFpNFaLfabQb0UrWo0DdyTXx5+RYwrDGqiLW3VfNCQxNAf5di9/sQD4Y
kweJabE88VznS6qbk9xo0JycsAKY2Souy/MaQlhUtLNKs+qPceV6Uv5RxnE/0zUkseS8e4Pa4Rxc
qfy1qZtqWMZZrM0+NXwqmmXFagtypKgfgwztEAcLwWTUnYNfE4ZGfJ1Fa2iwwi+C/gczMgSZ++4n
yocvGIr7X5wEnWB4Rd05jHtjU8HLgeti5+eEhPACmW1zbeqDM+f1xtc+bRoIBntTsdGR6zXsxUVl
hisqxtJDRGbacHl/jcEs0D390FWV++R63XSjqDXGjBST1imXZWNgeTF1xiXAXI+ajtzGVPQbBx1n
zJBvQ1m505x8qXkWh46sih8QPJpbU1ezbro5U59gFbOegBfpjdEij1l4ZprUa69NwuOnWrBu6P0Z
kOQe54cA0QFjkUdD9yHnymNKlvHdbc1qplqm84Kf1zDHczd5lBs5WCI8vXcSC51Af0CzNRyzbQ8S
B+UTRcrmddnumGrY4NlpVSw9XkuGHS+yyE0fk2kzkFkg03AVNbLrHRxr3Mo0HX3fdI6qkhkjvt3Q
p2XTTRZAhDp5IdrLgYhw1qJXXDXuMSQuPy/03p6lvvwUWbCvTCQZ1gPpp5XppuVcKAsJ4aBwIsDW
WT5ZxwNrlccKR8RYfbF0Pp4dqWdRkgmhg7x+wlO1uihoDu/KLC0XXmoZb0Ob/bASI7nmTiWdkIcm
6W103Ef4PEzRyCvZ5Opb4jc/DL6zN14uDd6XwAJCrQnmKDZfcJvvThkkpmVg2yCJHQvLTKWrtqUH
3dpFb3LAOwe7HXk8cLd8VUYekPiA4P9Wt97KdEBYovcW/HD4YbRSUjaREkobAoDfhhJh80RHgLxA
D/0XlwWFyFTNrVd8RN01Vifp2izy5uqb+TF2BxVTLo2lf5l8l2uUXQg6+xcrLK6d5Ifbvg/MPSLe
KEJOGyM+e/l7Vvi1N/M6+KJZ0P7s1JWsyes+KJwvfuZ2y1qTy73NAuLscYnzsGGSpaHgsMJ1Wz+X
Y+PNO2KRsIWKEKVox49mdRNZ0D7ls6Y047syWawinpLOXCvP+UcNq0y2X320dr/ZdoCySgfhjBdK
uDZLlFFc2eheHRO4Vqn77XfPGNalV5C4a7SnNtUdWHrS1TPTTa0jtjBYiI4MkTqva0ymu8S31xGa
5Pusr/qNaUs7d8zSpTI4+zGu2plM0INATNOv2kAzV5nbfPGttMbh3Q5mVToE39BluthGYX3k3DxI
OeMBiwz6ypHqeof0686B33yiw2RmDkPhlA7g0iNgIL3nh1exQaBM2UsRqvRTVSRJyIoltrEkt6Mc
O2tQjnKXf+nt/FKYKdH4rHyCPh6fEXaWnzNJQcBLsU5qmFfHwSgvXQiUJ0/CcB84H6HcpAcZ0Qkn
7IetZ6GAArw/0w/SyW1gKvpm8taByliDTUeaaSpKg3meIlsPptp2p8asIa5LgNp0KQwWpdz4e9Vp
jkrd2GjWT4jDCZjoO+wxRfgR5T4YqQH5AlEvNpCxwNOLLqLs+NVXJv3ponWH5x5voXMRh8+1klUn
Aq3cSWNHhq+r2hfZTsMZJItkXQbtD5tMyBWbYO3Y9xbURt0P5sw2sgN7V9GIaHx3bXsLuPIYfSOs
T49OMYatE0T57FYOVKufDZUaA6pL22Xe28VLoYXNElPIfC2Kpmby+nEU9GW9Ef6bkw/zroYGSpRN
S/e3XYtV697VYfrNJ1DFPvL0B1LB0tzvMCH0nV1aDZdiCI2znYBq7eql7mg/WNcVMzmsv3W60V7G
OiHtlCHzWQZvY8l9GErqfGjC6menP3a2hcpP5DuHgjTTDBWqdtFHkGeaECvyQGrcDUZxBJy4nS8J
Sp6XdNojDX1J1LiAxEmVaGwziFJdx7NSFGVVT06SUn6LQPVk+H49lZHc8g5CFkoUrcAbj4NNsIz3
3BOYz+4habI5NAjzKc/kZBYAEyBx3v/prTZOxTjSeOv65vvfWauJHqLB4fWw1QbO/tvBzUIpewji
n4Wb27u+QPvRbvC3gXWTbAIdhhX8TJjJJdpkLLmHlZZrxXm0SwuypdwQw/EuTl1km4yp+j61ycv5
3P4b3iEk5zKkFBA8HM+IMmdLNwjkh2aMLFyGOvkpj69lyQR0suu9tm0YblodR/jQc+rzEEzJFycu
31Q3PcoFd3oU97itA2ciyqXNTQvLda0x9E3jjvIGrDRO5pkaLxXDKraKyWiAu6dXRleQmWZeCmt5
qcql+WHnyaMyYBNUZbKMbY207Iww/8kq7+TzLHzzWq6w86MMiaag2ZRDfbK5ldaRanfr3rCHi2zZ
3gINaPVVJkGpmkn4MzWPZLKAjnMzX8y+tt4sH53TolWqBxJMzaqI6wysSwk2mjAWc67qklV6M08r
K/pWZP3cz8r4Q/ZLTBDSIH42gQauWqRP9uOoodJigOX1nU4hpz8c1Vq3n2zHUXhkr4hyFe+Bb0Dv
tOVi5+qdBZ6w+1C8iAelbQHFNyoTIHwT7pEiDpdEboZT4pj5rDWMb6GSe09QEYeNgnDqGtFT55k1
OlKRqfcdGQsAhGkyPAyJ3kH7KeVVmbbNK7qoO9EjMGsQ4wXxObWrsnXTVxvZ8uItmhDmViH/cOC3
jEj91eYZ6QlnESDkv2x6gu6DGgyHlLDvrA8c98nQdcJBZb+bsCedhkJw0YMW7Ov4GADUg1FT1svS
wKba47tcmPhfbnm5SC9NOPozu7VJf0+tVWPjOGPoT7KM+CiJByZFNS/SEkiFprfdtmmIXo+2kr45
sfXRgTS9FE6oXzLN/4FZewoB2pnl4Kjn8PhQWHBkc4uJ1LDu2yh98NQpcp011XcT8awkaJQPVjkf
hRxYzwXST0tFid7socwX5D2dSzJtwCyjpEruaOOakiqh71Epi7EEs+S7pXMRHR3HBJofksS+1+VS
bxL95cEyjSK6xcSVLvZt7NtgsYm5TnPu245gs+T5SzvL06PkVRgQjDHCT60WH0BdfLUATB4DzVhm
fvWIBHUwV0f1MFbOXk+I41qOrRxzTN3n4+ArC6Ou+40TV+oWH5LhnE+bYJMOhFxAGQSb3HOChW42
6qs5oKdf9v1PyHCj37FiR9bquSTePqtqJ1t2CCTxuIy9cUcGYe7rkoFRVK5t5AEQW1yYCrEaz9q4
kZTO+ctzvyrxF99RkYGxMYHR5Hw4jJBV54lGOjo0tX7RGRERenmwoNQ1TTuL6uYRsaBkI+ruG1hh
f3WpbLVbdlanzZiNHHVSBa921RGGsfTgZVKjXLSJoV0ix3dWPuRsNzHWZKTGAwSjdOMZON50aoHi
T1Afu1JLHlFUYF6Nyx7YK73fijolAfqCuixwUMm+sBSwPhSVMNQ42ZHZD57GLBm3iXdZkoadr2fj
Djw2345LBiOA1H9owB4xEYy+SBVphw4S7rJFgHmTFL19lbH3lC21ZdGD0zy8V2KlAWscP2jmsZcE
BzDD6TYYCVjYwDwWhTWqC813XMRdugePaLhjmKTwx1AyjzUIRRe+2lXKvOzKXHpiO2MbMZrMmjzQ
u88mRgDYkftM8uK6fMbliyB6pD/x/zHB6MxReE8vdjP5CjfPFmTkC5HP5LYpyEsvChTClsPUSzSE
ReWe6vy7KGB0Ki9JmEYLyyrHCwpTzkxT6p4sizZebnWyYa7V2NbBv9JFNLBa0M8GEMmpJu/CaC4b
GLjXUlMeescqDk0T/9qLkVpAoRsZRkSvASmLPrddnkT8r2K5XcW8CY+lgbuvJBv5OlEcF1YlG/4G
zrapLeL36Xg0SpMXQBJe60KKuP15LDKDtXCERaEbYxMoJKVhXUVdbWcEGitkS0NbZZlUuSTpiOqC
+luPcpousmI4NcgBXWSUDeaa63tXn6teE5qLyRZ2qOZ748UGTHTgpqs6ZYGuoM5r2tX3Tq4m6zrU
31q/jY5++4MgeHmKmyFfObaLWkyAA1HlIrop9tBURiZH7N43tXXqi34gdIr9SG/KJkYTFnrVUvzm
oory1cDeYmboUv3C816Z16HrPRZ2iVNbWLpnU+ZPEUSI9gTR3mzw5lUbg1fLVBSbDlEPWJBO1mcz
0aT2xK3TbiF1sXrRqodAiDPJZoz3Dl/wTbtJJhy3hRVG+mKEVMKqV51CfRi4CYElsSl8hWmBbzYr
xZO1m4BTWTeYkfYq+kKThJPo1+FrhV60eYgydATy0IsXjaXouzqAr+8A5npSfLN6YDk9k/ske0L5
cQlMUrpOE3W3qZRXLXaKQ5kE7q1o5EkyD4cuXCHggsdK2vbSEvNSaR0D032o9Ow71AkwYmnX7bjX
gllHpupqZBF4OSce14bjArgqpRcfb6uHbkjmelNWT94wlE9ZYl9yxIRPuSeVT47WGfN2GBqesBRt
W3HXpCjChVu7JyPLu2ObD+4pxWwdfc7w1UvCchvIfg5xw4tezYjYJHHIYCNaI3jUYORJlYlWV8K4
Ko2kR9nW5QfeHxtR3Vtteoj9DGQTC00AkqOPeAMZTEOr4gV8CPPZiCMEvFW0w2FUmc9JRewboJm8
sKeiMcjKOs94vUuRZTwnsJSAhCrxUhyrOq23Rmm7Wd6ObUAO87bXUPilMzO8apWNrodOGkNFbR8g
2g7/SxRVTCqXKPPLK9E57cCk68iO3lplL0oJ3fj5+nZs37sLBH/kteisQaZYlL7t3lpjs2oWFjT7
jegsBx2gp3ZKw4rzjr401+s6WoMb3RiW055bb7BWSTDmBzvaZ0TonnD7ahW5e5qYNE9J2b+Qn3OO
GcoCGxQeUNfX+u7c1PEWSruztzQJNRZRVyvvxQgz61bVal100kEquHKuBkiXpvqe7MjO7uzuLPqn
ZRAvWD8H2JfjbmKlHVO8gDyxHMYY1JG7SJT+e5ob7Xue+yo24ZpxhpcebgJ0o2rSYZfGiJ4bGasw
00nVHTH1dh46vfdaEjpeaegcrESrUmH7URcx7iJTa6YD6auy9uIFtvbSvFdF4m1UP0O0vCNsFyZm
uaikolyDZua9ZXvjsHOwqTCWoWH9tRtPu7qSFOr8jw5/7OqJkq+iie3lGQ/u0HkvJh8P0vKwkJAB
etH4t13dGCOiqSQZnX4OveFBlMIxzU4F6DxRAmNlHDQcembBpJg+log82X2P3vk0Kgad2mpS11qE
pqSdB1f+tdGlrSVBObxXM+HPd7ELmHLqdK+PdTQX/SEw558aMi+UZ4WbDOt7Z9GFeARrHROt+d+n
c1sWjEapKM8YE6zgdw9v9mi6i7F2usOgpPJRVgl3NSrAwZA1sj8gNhEMfgYonU0x2QqJvVgzJh0M
jGFHC0chUaf83ouzKcncYk/7qUF0Fq2o9mL6MQ0qDsPz10NHASGL5QiI+jZqRWwZ2BNJqWYGknkR
DWO6y6rg1wZuYLoj8p3uxN694d7v3vCp33/Q5T48cDME78X49+NE8d7nfqb/oMunoe7H/uNV/uPZ
7ldw7/Jp+MqT/rr8fzzTfZh7l0/D3Lv8d9/HPw7zr88kDhPfh9IO+Dv6wYOoul/GvfiPp/jHLveG
T1/5fz/U/WN8GurvrvRTl78726e6/8Mr/ceh/vWV2p5fMjvUMkx7B6Z2wXQbis2/KP/RFFU+R6Xk
CG9H3cqNHmV/lm8H/HHY355BVIqhbqP8u/73s96vWu5woVneW/4c6d+N9+/Oz2KGpXenh8zO72e8
jfr5e/iz9n973tsZ//wk4uz1MF6MomtX9097v6pPdffi5wv9x0NEwx+Xfh9CtMTTT/6pTjT8B3X/
QZf/fijbKZHOLbX3QTKCfSO1k0IiYLN9/HsjWqJhKHaqdhHVokbsVeKAe1/TLcO9aC5JIG2dGFs2
rfMeMq3R515lwK2qDemaBTECanX/xCoYIdupFOcwCVvwLVO7OGYMdHNH9v2naBf1LjpRq7FEEUvU
iU3Vo5Zh6oDAasT2D8hFnxH1iM+FLcXbznYwfO7g+dpmdNugUBkf8xQF0qmXFkU4yYnWwJKAs3ny
4VYnmtVI/8COjoCI1SAtI4bK/R6ec67Ky1tHF1XJRWUENjrJBvySbMRih5U9OEzMVFd+hJerjd6N
AX++K846QQPy9iHsnqk4BFZxLpS4OCtKo609vQC6Lo5utWrYuAXIhj+OtnoHYHLavCEuyIjiwMrM
sSUy6ut9LDG032kVQU1vfxsvSIrmEKYxsrx/nVJ0S/uuP6pMLG7d9JElmqVuHLnsITHjF+RNDvU3
s3rkkaGo/2Fc38jwr8ahWxv8bntAud7BryYve9fgIFEpDr83F+BEHMnRd0n3P6SdWXPbsLKtfxGr
OA+vmgdLtmM7TvLCSrITzvPMX38+QE7o5GbfU7duHlBAdwNSZIkkGqvX6kBVuGVF0WkO00fhHMvK
CW8DT4s80DDCXgLHheCK5NVthjQu0xRnTtYcerTbd3Nukc1Ub4c0y89/T5y1KTx2sfL411pyaBX2
hUy3ddQaC636FKG1WR2Ca9RlwVX2AHsF6LbWwd4HMsu5Nt7FIeMGb04uM5WlInSZeVvI6D+4bpKS
N43Mk2xmUmcnlJHNk+whmDYdMyVbSWf2O0wOfdMMcgpOmFFQHI3YrLLqPRV4GWpjIcRjXaVfe0XR
rtLaIya3BVNrrKXj5hXhsjfMKilvPbiTsUsEJ072Timh9ACv8Ra7eBMtfEJkSCdh+4fTmAvzYOru
18VugyfU4dPKC055fHUvPcuLeWgYgqoboDAR7/r3+7oNc0r1KDV0t/JNWE6g84nUGQxbrn+SjVUU
KNbf2sU6JDbWgpoQsoUiNgPZgvD1hPLdnA7KuwXMqiRhkA6pclvwNundgvUI16sCQ8NGhxn9bIom
jsvuLIeytzR/2ajTgzaWjdh6cfw/LbBMu72GPnq7Amq7nI1PPd5lbBFRQNazh1AN84fYytldxQhK
SAf5tgQNakRqhTglvLTuiVKAOV/JMdjTN6Njhc8ILag7aQc95p2WGUtsLYUt5TJy7hLz17AMRqox
vPY4q8lnpcs5ySgtmNzMOHmKAKgdXYekgco37LXqjYOMoIDLY8/thQ+OgLHnBdV1pZ3WQKocKPwF
nKQXcJJuAtRTzqXN0aPoSmMrPLK3xMgpzbhzRuSbllBp/tcwkhCVZaVUna9+306Ps2c9mG02PFds
uE+lqdfbqU7zr4FpcaQEwIrU2QTJmziCUhP/U2UBXE0q6NfitvVXSjsdJdhYopBl0zauv7YsL9su
Nglbzqmq22bgt9bScYMn+54f7w2Xr/470HPQ9skR5sVvt8COKu4mgjEXgSv/5FWed2LnauYr2ZUN
XOwWEIIGTfubtaYKeqx0a2cskZCd+shwihjOjZCJFY2c7lZtBMCStEBpNyOMoTmE6uoctMjmRM21
LuF9lj3ZlFNGtW1ugurwmzdH8ruXBoAcYHI29zJYNQzkoJMQTtTWae7HPP0Y+54D+XAK5FRJJ3RD
ftlijrLupSMUvf9mz8b8Y/p7jaR/Jm1Z3rVemVzg/k8uXe1sGo/UJ6RebybpnKthBk/SaOUREto7
dXanYSVjmgEENeeeKMPnXkJ9oFgr69sm2stu2lk/3Egv9u9s8qXinyW84Heyr5AyHUcjg+jO9E6Z
aEZbg5FyGcseOsHoktjN4W+70nunf9lGK/RPCqJPaLqLmNuq0irHco5s+onSk7X0VNWkHjhV7i1b
ezDNsPzYkm8OVYDsdhqaL2Q9WrsrPwZBrqKgPoDrV4uPGhLy99ZgP8kZcemml7rkobE0ydbaHRca
k5Lrc5iH/ln2sqH8MgWuvZOjYar8c9AASebm/isk/t1bbAMwU9RwfNQnhHdx3CbLdeSKf71cS7XO
Jm8zwYn/x7wl+G1upKJC4UQ7NYyKfTWbwaOi1rDQV176iezdZ2s0tZ+Ia3uWydGvG8RPqZO0n70+
4Ugn7sMPYexyzbRi5Wy3dnr+a50O0q9zONTw3fAlvtPUxjkOSkn+CdqBVYt4zl2EvMR06WAF3PUx
0EuwCHb9GieKt01h61o5JMo5MM2SLbxj3V0nGg7r3jeLTYZoqrZNalc5LnY5YRnKMGnLS8M+zImH
VtsfS1rl/P4VlvlGzHFEm2UPvmVRCJUi7uDASr6Xw1Qts6uXpVcAtkm57nLULIIQta3QaOH5GlHg
0oxoXEGqNXBw/kdToNeL3qsFt/dKuuJBg8dadssgQwW2Iq32zuhXhb01hhiUm9d0u0hLNFFyED7J
pjMhkEDr/lGOggoCnCViEGEDEZEz/4rgqQn8o4a8t1blzYZjx+BSS5Kkqk15bPeLcSuNUGeGl0kS
IqUiSBr/e8wyZ4lpBO2SdMSxERxUsHowCJXGC1whia+VL32DEt2vwS9PpVTKLqc6imIYcd0zgmIb
Q+WwlpfB5apYTDDjhsKx2G7XUeEwJ59EurisymZZanEs05alluACwSbytVnOdb2dn6j1H1cuJ+6n
OUEvRs+cgLNWSopSx++qdQNXSdjpH0bhhBjDXXcayGwZOyq2dY4aoXdbGH3FsUp0dms9upfeqOQv
kmfQmMuhw8n81QxGISSkPtXTtqc+pgFJB2RByJ27hbHxOzs85ghd3GUOLFzsicpkI7sQi0/Nyi1A
dlKGWu/aKR+bVWWob6E3/zJV9oZIcDBM7FXkkCw71UwjILxEKT64VBtf/dbQnicOPddG4phHUFPa
c1g7Lmz3gY/idAlVmGoOa1ucvlpIvh4to/pezarLdlXYwDQGgMC6+jiLc1jZmIFmHqO2/S5HnTiz
lbERpTv/jBVrLtNlT66rFUp9hKUrPY/JUFG/zvOUxudwb9YAZqSt16jWbD3f289VoVxL6nS3U9uj
NjcG5XpsMu00yyZtADgVQk5wJQ3vXMJfwPVxCrL+rSdD3kUbSfQpL9T6AHqnPukqxJK/1Qal5KAc
FlFx5lgkPEtTK1UJm4yjM1vNBQX/L31CGVzbVM4pow70GMnCdzNGrTxbthOcbwtIz7LKnEN3vfn9
Nqa+4aB8DtK1FZU/OEotnziBqp4UJf3CWX9/Z4qRplrjAcgkUlYioqz06qmIug3U5/ODjNeqGSHi
kRIp6VQsu3nUW1L3Yrqc5PupBuAIre/bC7hpdslyi9p+oyzXA6mSlZ14xVkGgyKYj/pEpZB8fRQi
1OPkciwJcbXTG69dUxsXRwEeK4dOAKny3FKVI4eV5zQr1UycSx4o6uvbnL7XjIuSwTPuV57xuszh
ITZ+0HXU/kI4LSMn/ZaBwbkvRMMRpnYf6pm1HYV66WKTjsws0ElIUPmRQ9nIkNCMnkbQiafFJHvU
jI42yZllHc4O3ZOfQ/n7++VukTq15v7ogXUVb0E2o2PCoJ6H+8FX2rPF3rOEbUBvz/pYH+whmA6u
1rbQ02JKddugakWOZVdab3PkdLvhEBEobtVswxn8c9cW/5hQqNR8JpFy0Dq2ELJJ+8AHdSXGjaro
NyPlLm/uJfAv2yxmdHbnvU2WbtNI9b0GLv/vpa3UczO0Pf9YtqT05WBM8DfCC5JuEhRnPmmdN3Cn
NRHptIPik+a+QIrsfITorL40MZKBzpjmn3J/KrduQHk5W2yInmt15RSqtvEEMh8p6PxsCeSm7Enb
DBAdWLHwyKb43ZNDaNJwe1YKLc8gbrzFcFR5Zr6Dl7p70MKsf9A1y98MA4o3i81Wq+DSlP5emgaK
LmGZFZSuxuSOR2mUTQwxxN4G0CF4rruHpbGf4tYvHkBnOmwVLYo4i6b2ANzzglVsq5fMAs1Giekm
hl7zUHJa/bFr+ISa2EJyWCgxU/9LdbXftWdTDIcWBCsVwv6d9Npu+HWYvOkqp4KAvc9qvXqQPtcs
951ppx+kL1LaFQic9FnzNO9lQH4YhhfPVp4jmPIeAGw258IHkSpGGdQGt17npYgQaH1zlI7RCuoH
r3a7A0xaPI+I4MXRhcpR1cwOwQvCZCw4tmDXBQBTlli5OiJyVRKGt9k3X1gDx1AMbasEgb/zhhAe
gjQo7mWjWkhDzS0CunKIoPGboykbqGlUNdgtwbnwIjkxbMKkhHru9yrJqBX3Qah726ErEQj67ZAz
rIGsXaw4kDGZys6GafvI69jHXEM1RpBTqkJAD1kutIIlreUyXtwIF0J4KcdT21aHxqR4OUzmfcH5
PyxPQf/gGzrfN9EzkkuMBuA9Z8pvltgvBpH14Q8kA4SjL9uaCgbApGSLt76SUqcfe/AEQkB7HLzW
eZhEQ1UuKsA12bFUi5yHMLOcB0vznX07Js5qsZmaot1R4XSWJjlVxkJjs2pzPQSjyGrSqQVBdHuZ
xba8jNdTcdzDTXP2Qqc/UphNcXpazq82j9ybzOzIR4qhCxsVZfvm49grzVNiOvtA1WewJn1wTkGY
riM5NJ1km3ZBc5DeqBq/xr44qged81Lx7ZVRcKtAfM+GENEKlq4aLUdVq472cjjHFShKLfQucqjV
ID6V/DU3wu7KnSq9TUKfBeZhmBq2Mqo0LGVV1+D55TB3IOzUEdw2K762dlmgtAAd0LEpnXzPRdd4
4rCBKzlEAv+JbOi3IcT/BkfguHaQ+r7/K9aEJwAtFmLzFJV3Hh83FO96m1adjXMvGtmTTYQU1dmp
Qr+CAx2PAtxq1RtJC+Emw6RuPhheG78OSevFz2Xeta+l2v3QumjnOlX1WA6q/kxZOvDIuuFJMQqN
5xG0xyawBn8vvZHJfh/VEgMABsETyt/nxAcmlYjgmhziAyXgJ+mU8+Pqe+qyG5KWsIw/B7UCw7WI
VkqI/WeI5VXLUjcpP7UPsqH4SrXCD4PVlx8o5pzJJamQXc5+kq7dlO1qbpoQo/6Ob/tib4SWddUd
/YefIUg2Dlp6PxRcKXmchB0fNOJ9JxrpGPPcPgZj9tLa1S+TmJDnbnmp7Xh9i+/s4BSH86WTFKWC
fF72lqb9h23KrP8tbpkWx3z/C6UdN2YaJGClfRh3JpOKYVFzqjehDmMQjez1JeckKzn+yw0WNDqE
kX8n7bcV5JS/4hbbu5gSro4dv4cfmlrpPGTwwu9eaZkie3+/m9wkNzTyWLf6r4FyxWVtGWeEirWt
uKrA1I1GwHpwYZXmW5uUO0twS8sx1CYR4GEAjYttGA00jN6NxcROGuWcpaldJz6V5aA8Ahy0nvom
/64U1nAnR6Rc9R17M2vT8715QjjkECXFeJd3roZKDpUakx3r6Jvm+r20yabPLUguXb3YymGpzGB3
q34+krPl+9/V4UfQ0BEValqHVmCR70xv6i5J0njUqUTBSRHMryxK4hqAUDjXARj0ILyXPUvnblNo
HezIfzpQGSN77Fuv0m7PWQwNhQjR0p/NwEGSXCMr3BByiFHnMqfYKMhSG3pbWMbWEwcG/vcUYZJz
1qbF2Rnjx8i0sn382yTtlV2H5erv7khFO1Y+6Nts6X8X9Hs1afvvS5a+92v1tgz2gJzcrTZ4+aVJ
ox6iBSoNSmpMVpHdhz9yYJ4UEf3kL/PJgBvrddaKduNrbnpfFDAJQu6nHya70u5tntE2dt+Va0r3
PQ4f2vkuNIFn7+qQUiKnccbNO6PsysYIAKj3reED1wKzDbZbn+8W9wTFfbfqfD4mdJO/Lo4IeliU
2NC8VLPiA3dbLsfQkcoRlRLmuSnmz3Ikm6E0xZdmqLd6MxUfpE2NIIKpZ5cfNyYf0WyOaqOt9JnC
BP2Jvp8Vo1svtixr3dXUA1ZfFhqTb76GdvltVcrBTpTJxSu5hrTlHtyyfjrGO2nj4ShaV3rUHuAZ
uS/KCYkPZJY+9J49XuDNvMRiRJl89WGChX8Hadq8kUPZkMP/AVA+JjtJWNpY3r3PibecJE0t1dZ7
mA36dQ0xNHXC4wSSzEeacSz1+xR0vFnO0bUVI2nXQ9s88+xwkiNXnU1QivpU7R0kt1bSeGsaVb/3
daTCjA6mOWkLB9W4mlO8arI63tqeUl2j0uJ0FmreQ+poxpX/twvg2dFeepsDFLU3w/9MpbbOIEOh
mLs3T7kZFV/DisJVF1YqyI4UZZvMlXNnwlBy8hrV3DskRR566iE3ULCor1YRfeOEq/7pxHsUNYId
15l671A999B5ur0uqgCb3XXequDZ/K5rvZP02koC43068RVHa9Q+qGAhjykSNxtDr+07yuZ/QKkQ
UkChIektTEuz2Gw42g+F2lFvToS0K+NU9nBZ/5pG7eb/z3L/elVpE++QfZe+DUDK1+L4shVNJ05e
ZUOx0SYG8Hu3mGREoE/artNV/qAiVtrkfDmkEPQDeHfrKEfLulTJ5HCB7AvKpU4dsHIhs5w9V31K
sajzBSp7777hhG1q8upQ6Gp0zYeW6l/LsB/JBqE85fmQK6FDukIWw/oyWt3TkPANVsZmbQ2ccbLL
P9/4Vd9Rrcru5GX6tq5MSmUEs6puWDSyJxoZMgt21k5kraM5+znr5XTPFQ2a6zHsv1Gscqooq3wN
IDfaU1/eH6rIj5GxUb9ZfMcOuetAv1M4xceRAqS9587TVg6bse23CDXlezn05yHeqJYRH+XQ0wX5
FUIX54lL5ccAJivKjaDeqlRVuaD/DK45h36tUl39ZdTyt2Et8q1y6CWeDxVZ/+aVw+yhNLdToP7o
59mD+dVWUR1KTbC+bZ6Ajh7YwdgaiiX8ZzaZ0qsXOZJNFmaCyEL/EQ9Gnm1H56jbJPpJGxiUw6jG
rSce1imMqQYOgSg0kw5Tz82bl5+aSYmSiE5rS9+W+gD37G+3V1lGuZEr3palsnY15b6ybZGKWfdp
X5ysJEMnELnYzQz+/JtqQcKge1+UebC2sxZGp6528ycjMb4h4pntyyAAp9MFxUU2rj+2d4N7LwdT
U1XdZnEaSqCtrRqJpbGrhgOEhh/9vKKY0Kv1lac7yrUVgiGcBgT3eQrbkqUZ7+xllQfmanAhn4za
jrwBYXIWDLT9ce5RuuT4Iv7c6XBU2pb7tR0CbnRJCU98T11GN7Q9nBGF9xWaoK9a2ddPpjElJx6V
tC0Uz8PXhMfj1PC+mmTqOKktVbCwuvbBnN0fch77AG7flJ08jlQ8ch7Rmdx3I+tGSaaOT6Zma1+o
KEW7E4jIUW4dZZOxFQqdktuU2E3KJqoo+1TbCoHw3HFhGi5n51J69kZuQt1YyLXlwVrzW/W+SWL1
vmj8z3UUaEc5ko10xom/GqiNuyx2Q9fNu6405gqpSrXxPtqzMV9sP5pWvYqo4AzJ3NbTR3cvh5li
vaDqvEaNFU0MQVtjanHIp6aHd7KXzGHWrGQ3CNykWS0u1W3ZtNQayHCmvAt86yL7tzJb24PNcR7v
YtEEZGHyTW0Mn5zC7vbSgfqWj/RJVLzaZk7FYVmHDX/rAfSQ7IaCdicWohbihnN3awSTz218C+o4
ctPQ+oIQS2CmJSq6gc9NY/sZOmiMwkutkCpGz3XWD63Q7mmAy3NXj41Dm+n6i9r7b16o7+LTNKAM
x3OCu6KWLvg2O8m+jk3zJwz7xybuSPJB0sD20T/ajVM8yER+qlfzSg3y8CyHgRaG20qFmsxNnJdm
nNFHSuYvtu+Wu7QdST56Tv1J2ItKn75QMgstK19hjnfWFQipU6GO0SfTTSAz9prnboIFMov6H9Ls
ZkO4L41xZWUHmz3aCeZumJpFz/xzOCnjIOQLcd+6t/AQuJVZceNc5vy1zi1aQ14gXy1rBp7z6FAH
sa9zZ7hTgmJA8B4pK2vQ7ju0zE3EfLFJb6KOw51sijp/VsbA2SdNbPsXaYMaBAyNXtYrOQOQSUR6
Wqxa5XNy0Dj/KRF/ReubmqQyHXbJ72Iu/oDOvJJeK4o/F43aHeZW06lqEDOisOUkqLQjqvR+B8oq
MCh9bABmX9nGJgnUlj0PNCUPIXXLIcZeqRN7V8JnBtu1rqmbIGh/liWpfCWt0Amk7oXKil9i7/xf
kX3vhjeHFIC/2QRDxl8ON3cofl2WkdFSJf4mHP/n+v9aZrHd5ON/z8gtmFX47fJuIvFuIiEPLaOX
92qF+ofAzI2VpjTVhhxD8YDCWP7giB74AgqY7Htpkc0coiJXD7bzLtRL24n90OE25fcKYzVlXMb8
bitnyqVNV+2vE7ksaTKzPkTxwjJJI0dhvJtjK/BWGvfVS+kOW00O5bysTAuOM1VzpwaUjVPm13d3
EYjQ5Z3JV6feFw0/d+73i8Nru/7ckHS8vQ1TFSJgygYhZ+cxI+3UeSRKdatyH9PGMy/gXk7SpwpT
MTgQdRgTT0diKB1t2Q3bWvO8jR7zHL5mB+evGvxCDdq5xfBHvbch77mTq3BV6B5Rs1n8YP/aI6wu
F8dNDm7UWdfWKlLurxlHoFqjAtGB2eAaz6Z1lT03qI1j0LZPtzg5JRjS/+R+Ph8y/hkkvpnh8JM4
tI0RrWyxqoxblhK40Mkpi9PtJTW4MiKqsjaDOG0c+i6gBK8sD3KI1jlCwBalSHLoZlB91N0TggHu
GX0J59b8NZQOaeu9ONqVUxjDPAj2z4iHdIW+Tf2Ixlz9GMWceZmlTsXXMNV8zDTUmby3yWDugu0m
HWDrkEMZJ+e2Mc8eJgnm29y/1muasN2XDbXYGqrnZ7Po3xqvc84DDw2UwMO0RDHVL4eQLK8QQoCO
04qbot7BXQ7nBDSDlVYFG7nCu65cVkZLjw+DCD80pJFmFfEoxDeRxCwzNOHb2LujZJok22Chll4O
mbq5jalCde9uUZMXwGBhh9/eeSw5qRDzYT1n+02dII/hKc8rZu0r55mqQp6vaKykVJBh5tQPQh9d
OyVjGd1F1LnCPm+c4izdBeQ4D7FDWdVcVtaJM1v7EJjDB8UYqLKGFXllzH27YwM1fUnIIlB/On3S
AzgR+Ia0uzrtb/bcruebfcj0d3YZPwMnucWbaadcUFWEkmWEPmmoqmst1HXThO1xW07RaRbau4OD
tICGgN6uEWK7BhuXA7+ocCO9AdSsd76dcIMSc6t8sh9UJTp0IhbpA/fkBv5HKEznx8bujVVTw9oD
F9wKxm7jq6F1yGMEfQSduUmJq97oqzT2kmsflekTikv3FWzin4FZ5Ts7aBQI1rzys0clM/mjkmI/
NNo58Ec1MbtQollfoK5GQKhCBGhw65spsEMIijjJry9arZBLy4Bny2AZIx1yKJvSoY7dD1DkCULB
+bIEyp4iKJ2L4fuyvDTLRRbbEEZfOudzOhbzrjaaQNtVs03RosJ2bYMQabXmOtrwGCVcVpxUd2Nn
cBXPvDjdkUDKVv/HLLBU8cnwjM1tEbneLchM+ldNMepDbMTRdWnsAhT1MK0XC/RI0RUeS7QS5sh6
JiUZHKVtCZG9pnTnta9pymZxaJPLNLKmwd7qM+oOxYvdjLJb1CA7YG/aGKn5/l0YDqm4ruy+unUy
nAJ/6k+e6rw10iaH0rEM34XElZKu3o1/L6PMvrn2kdVaS+8y+b+u5YgXVtoyPKDZfITaY95HoxOu
akGh1cLsDxWAW25KxTPOeehBvSWpthJIoy4J5zvryYpI9vr1pKJyyRy14I8yzfpZhkA/EMGshABT
EJTWYUwdh6fHWvk8DNqRyjnYuNVw5PBLcJcLezVXP4wEpo4oDvVr2ZqnJux2g9Kf4sYqvoWZ23CX
NJSXKDarzdgow4OtWtHegVvj7CI9se7SqUTaTof8vm2/Zo0Tvxil4jwUFBLn0L29+JzHPBfBSbpk
A/UDkGa1QTeQaJ4rHpvGXKG5+71CK/g5MXTun4ayliMLMaNnZ+RH5ibdZuJZe+MYK1uJkqcg7Pqn
ZMzijZv57T7N7P5JLYr4whXwo3TKZgz8Ly5Pi3dyBB2Hs29MajdjlbTQmsVcsZjnhG+LzU3a7UkE
X6au5cBvLniGESQ+PQzZYE7EEOaTrdPq+yqFDSiKlIGb8C8lHimMo6UNxM4W+NLFUTXlV2ReHCiW
yQIoWcgp05g8SKQVKMP7qs2SBwnCEr5GjKQviOP7Rk3V1dTy1OFYbclxYaKuwOqXH5zCLD7wLE2x
RD7nezmUDqOgTjiOnas0NVZf3+mt83yLF5MCRcilBmx60qmP0/Vgtt9iL+jOMoSTDPe+ne31MkFT
27XKRfKu0cxV4vAQnJRRb0EVnPpHL1Pu4zpQ2CwB/LwiWdZfs6Hh/F9NKVrxofLcGw41C2gU1Xvf
1ww+RL9ZV1bIEZm4maZ6ArdxjOyPGMlGOgsRsYT9321Tjwrf2FDcmyjbwnZhJ2RP7UI3sp3izD2P
Y1jdo1FSrVFpzb7/7xEZa4x/rtFpFZokRhEcqiRtn5pJ+eTzHu8KMarzLjzMw6itFcVsnoxibJ+S
9JNupskHabHQGEHJ0Bp20hdNnnM1R3iSgqZ9TGMdWHNlXtmbosyd9f23gVt2aCnxp9bxjF3jGdGx
SFT72nExsAfXP9fc5mrKdemOs6ds3RIAJKrvLnSYM2JLc6u/TFAv3YZ6b+svXe8774aLVwb/a25O
7u8A52026+2dbDwV5gNuugVUjr9ssqd2MF6QCvY5BckFwHPKkNVVYZbc3IydQJPGnXPIbGM+zSXs
2JKUvUMBiXuS89xrs3KY+g6ofq5Hn9XKWEP6GX4DOAkcLHJfdCdGIrEEg5P0ELsa0dUaFP2awCBD
cRM/k7ssKLc3px23ztEO1NeQkgaOevyPRcMlwrPnbt8jYLMpvNl4rkKzOXP80a/kUIcc/CFqEkR6
aqVbG8arppfdk/TVECwkShVe5Ugrp3LtXueIS/kDHDjueUqUZA0AAHmRyZ4ufTUba+SWwm+O4ex4
UrJe+7aEVUSHIcuelPBjKQTBRICcmQhhknqE0UnO5NE6+jZX1i6fHOt1GIZy3yfbMID6ewYxXP8n
qtA5nFpN+Wj3w7faqpN7OVL1j03Xqi9A6rpHDtcuaVqg/N35nGTqabCWQz0fsj1QYHsLTu9TRn38
sartfAZlr8yHEtS1npIaUkVjhSOcU797YwZTBpuBYScdstHK1L7FORB+nCENWy/z04ZDFOSPugYG
CD/cOTkqWqPbsTOup+TqdarOFTPVPsDUPKyTsnH50Odg1Ti1CR2XMa5LNyjOdldV7q2b+WVx1lyL
FLRTwsiofO8M2LlJuBVIDY3AwCfuUoUxIIvTtcOT7gvN8MyMv6e+vyb12P3M4v7BhIzq8zzxgzGN
qnxovaQ89INNjlDL9KsRV+om1Diwh7P7q5w0uccSFqIfjjVkq1DN65e8R2i9dvx+VQcogHM+2MMo
ym+umcz60CZ290xOQmiNgW2X3roIAw55zO/S6RSB98QHI12yQe78I/rd3kWODLtx14Y7gDgTS0Nd
/M+1pLNSZvfPtSIET0xD8y6mmCzXivXnIM3MjUy79VaXom4UtW/5unfjflTcddbBONSIZ+tWh/tj
hg/mAFeE9ZxqsbOr+jzZtuJZu49rqG8VrsC9GKqjMV/JWnPuy0jRSv1pTB7lRLmYY5VHFDwG7nn4
EQiqqNbKvLNcSzXGf79S8FIGEbceI/BvTaC3FtDRMIl2Xd90K+nx+urNLYe3GDVrtCM4j+MyOS7Z
WQTwB620yeAyWoNxO+s22mbAWDkLTLm+CpMvaM/VUJsiZJno3qKzCHCtosWnGYo81dU+W2oIzLjt
/N0QFNMXY4Z76pe5q2DalWbV+af5j2i5SC5yen9ES3MYx//xCriNR9XtD+ycrH0CG/2zOQXfe7ue
vkMS8kGBgOijqccWxVWWSuVmzfanm+eVjIBmcTf0HtWcflgCaO9ejVgb1wYn8BeeJmFeVZW2uMhx
B258ELxQ3vCdR2tkuwrzZx6UV3Rl3M+DXqN2VJHVdsin7mt4dk5O0yl3fe/p27kYmmeIzQd45Zrx
e1Eb4sJj/iQxtId1eNXl3vzcA2yBn0QF4yU+NasG7vEPOxpql9Ys1efAhQt2sKy3+AihqCV+sYv4
XsT7DvFyffmB/hm/vG7AOn/Fy/fzZ/w/1pfvvxbv35mK7cgByrPhWT9Coxu+d7BAz0mKPoy7opIu
gvDfyg+kDPTv6Kf/Z4xN5wTJbc8Dp2UdYA+Kd77rT1/ga4OKrVZeHR3O40rYES+evsDIszZ/23MK
7W52ET+7Zn8ge9KuMgRXzo2Z1PUqzRT7XA2Gg4BHr2+kRzbSsQxlr24MpvzlLuLu1IXjeFjskzZY
ZMpC9QlZZ3iZskT/XPbNi8up6k/4djPFgW+sm4fDiEbNeoSGZZeWXg21Hw16WvWdHMqebJSB4/LA
bBuYULglKZRolXN7kU1Seu0lEo0c+tZoraF4aTeLrTY78thyHChzvDPMYF7JeXKKdEwlrLLUdNbQ
+zvq5342kHqrg5fCtaK7fnC0m32KoTgZUxs5TRVFEvYG5rUfoH9J0uxUOR0q6ilorr2XI9wNd7ty
R6KXujmHUuTZEPx3+fw0RmxvvILtljM9oQ4yP7loF1BS2iO+KGyU3UwIu/LAEdmU+dn6A8Vt01M7
elDgAsuA+dirq3UwulQUpPpVeu1I1FmBEttqRjg/dRBxid0wD5Pt2lAN71McTq8avIQ/0+TBgckw
WNk2+IhZ1AlCq7/tUp5b9ALYQa92X3Qq3IY9ynPhFQooscU0BqR8YeIaD6oTggzQIHZTq/IkRyOp
kXvZq+6bvhpvfYV77MbSUz6zESAQNfxUDWUBpecVlYmXOi/HYl/3E4/MEOqtOZwcLxZlWzlcUDD9
GP03vynWYzmZ8N2WyjZQs+iUaMP8obFiKGchljuMquVt3TZsdu6IYqymBOPHNhGEj20eHvW4Gz9O
bqyt2ADm6DDgnauEOwoCeGYWjaiUVNwxfjeIQL4N2R/FJ8Wr4KOHC+hKGVT/0jjdmmcRTk1ijctG
EqCJI4bU2UN61+ebeDT4LxmOYNcswBKTgt/aZaN/KhWhId4k3j0HbvXZBF2CNpTSUy8ZhjsWb1dV
S3VE7rr6o2x4uL83VA0qwwDuspsd2gFTKR8akNuPRUphSqTP0G7/mmJG1UDeMPy0mGZIOg+qQUJ7
WYZzUoRtuDPepjYQU67Tucs3mo8Qcg0Y55LMuvEKFX8VqO1rYenB1YXMcyXNaqKjoGHanzRYLTnv
d3dIsIObSkgobhRdwJXV/Fgntadsurhmj1Tk5m7utex/CDuv5riRrE3/lS/mehELJPzGzl6Ur2Kx
DJ1I3iCkFhvee/z6fZDVI0qaiZ4bCHkygRLLJDLPec3Zif3sdkixOsEYGglsCyjKKQdZuVV1fNjM
uh3Pqd9ZsG80+x2J5k1h+PlH3jeveaUNL4at9mtFRPURh7f+mDd5uepF2zx1ZeqtKJGHu1oLpxfy
C8Bo/AryRa+NL4HTvitgTaAJ0lJ9k/VN2j8aWWM8qWCn+HinlwxnnkswuQ9yUDl/ZeA8aAs7RGlZ
ZO1WUYd4Uxro98F9GZ71zj0qPHe/Wg46mPoAOCcMcZ2Ekoku3dA3X8sRCl1uJ851QFnsrtfAAYwg
tb+WJN901y6+oLyf7HzbD7d1YzZvc8lIDsClFw3cMesOVSfEowjLl5a869YnF7CrZuHXxtW0pxlx
tIkrOzxg+gsJEjGrJWZf4tug/FkKZfwOoJTZD774Q+Da4U4vQn3n1J56bXy0vREem76DH0JAS/mj
8p0E3E0tLr6NbXXd2VjOAnXI8jq6c2cFaXnwxkk9gv1JN+MMrfiM3c4cRKadhi/UrcecBwYab7Gt
GwTtH/fhvbEwQsVerSyy4eBPNqnF309lWx6EYQwHFRrJvw9SG0Wl7Oz3w8GMSu4CgDEAI4RUggrI
TA+17uRXoXktqqG7RO7XyNCxVU/SIDv6o/cg+2y3Ma9B0am7KgOT2kMpiJaxGRjrLrc0alhz20dl
dsnUnCP7xnDXQOOxcLZpicrfWAhtN1WUpCGz26yDNSo+9QT+GwPLrr3UdQjsX+1PsoXgbXspLIcM
cxaLtYzJw6yngFeBdsLIhFvJWOOJ11RTmsNthPkqUv9AhmJCS7SDu5WDtcA7ZsY/lsK+Ur2Pzonq
YjITONdUL+1rlprNAU/tcCGbvj2IM26KpPA6Z/paa/1hECBdFDeedo1iGBsWHeobAETkT5V9PShX
Mk/ddbDL+OCYwl34nv+nUcTzkm/2sDYfrZK1SUPdbDGgoPws4ihZ1V5Z8/oJRgCgBO/tmgWLbUNZ
V9PKuWsDtaZim3dnb7YrQCJ2fGxbUIKjoaSvvo9ts20jVGdZqAvA874WXh1/w8XPX3SpgbFHj6Ra
7NQCM4gIaIbdpU/IxeKF1Ub2tSXxtx4H4IfQxrVNU9awMQAe7KxM6Hcdi9693/E2Ouo8R6hWszOm
Pr6H/s1UZA3xGatFHovsAq7jbGZS+sX0iL2ZSnoEQ7bBdky0VwbtFf+EGMYhP2obIdsmsMvvhjru
i2wW4fdMGMPthMVBGowLq9Ps58nCHjdsKzbVfgVDWsQrt/arVxBIOEPoOeLDul29FsmCvZD/OqpW
fkRKJFnKUYkN51tPHGxH5ouQfFk5SYYsqqi7k1l7Fb9pq8IKtVRenMCFFOmSnchF92j6ylIdj4F5
6pIixLNmyA4CC6U/9CL7bqpm9KZqwBfDyMFXVrOouybJBFDWQuoi9auTtOsRiPbbllMW+kLt6+7s
zDQyyaSVjFuwmB1y+N2DM9NxZaiPfdRZkk4cXCcpHie4iwdMprtFWcXdbgATt8EeST3HTRiiX6Gd
ZAukLMCU+YByYbON0SfmCekb0brUe7FQitR6QI5FLMbB8t67tjzjAuH4Cx611ixoy6veh1kMc6TM
wk2m5zwpez1WAEcleLqKyIaY0dj3pKn0aeVDuGKd2B5vzbLzxKYxEWRyKEvzMUTRxok1VT2ocY3P
FjKji0R45b08pHPxpuKdH27BONuhXmMcZaeaGqiPkCNblyZmHokDKqQx/OiU6OnGUpC+H8GB8TPO
jUvUufolyLvyBMEQVdd/her5rEFh0htG++4zPsSKsbTqrthoYeyjE41h5+52O2ZEsDujebuVvDGW
o+2xrvo/tXpCW38I8o/0VPdO86HEZrswnHJ8dKrJ5S81+gM7W3fVN/k3VgAWLhqUkDs1C6iEQbGT
zc+OW5PiVezW2f1v8cFo1VWErvZKDvs85DkpDCO7yIjhpIWzGkatXQrDzdaDd1CF3z3IQ+Dw1nqi
U/eyiVK5huIvSjxD3T0ofAsfkLnMtr7j4C4/XyVjqGnCXtci9yDH9Q3El3jyNrcL5mG5CLJNPXnj
Sl7VV0b3UFXqC5ak+VGGBgev2a6OTvIisHs5biPBrqBCcdJ6EnGjhnOlXvUkY5HlZ/YUb4qf+hvD
0v0DaWXtQZuQd5UjBrv+RnZLfaxVp9pXZt1vvAavYDWP9nVemDomL8I7lQ18/9Y1j6iSIOGKl8DK
NGaRKqwJV8jAVnvyls6rxcMlLGzjJQi16NiDQVsWnuW86kHNVKhWEbvs3HwxPexPUidYNjmIeU1z
4n2d6toRfFq4jaKoP+dNU6xRG1UfyNZbS6Ouo5eyDDX0ZVJ06a3xXcEQ4o+6i/ZFrOs825xxG3qT
B6+EQxswObvZKNjdkI23PIT1k/HNMxNn2UzudFfGnf0cJtY6KCbi6K9stQndVDPTh7dMkJXukHX1
yETgQq5TApkvH3NgYUExFOe2mKqrF/Rf5eWFI6xVaiLLLqhex2F6T7JZ37suUPO2GLqTbtvZOsBt
98ksNRMKaxZ+rS3co+WWp+r3YddbfyJy8Gxacf4W5nm5VGtNPGTD6G/kHXu2Hrc72ui2npS0x3xq
sPKnchhMoP1a+NUMunsRCzZR3DEDVfFdo+I1/jF7z+gicN6sUOfz6C39qKeB8Rj0wDD6xH7rdaAs
CuoDewMV6UfVT9hFIlAwFWqGoVd2Q9H5mdHeMXO0S4miA9XaLsfsm+eUIQZUnrOstErsfJdm3yWI
JfU9rsnka8BQN8Y2VLAIl71DzA4tAJK9lL16CandhlqIt595p7jCWaFZ7H9LgjUPf+1b2WoNpl2p
ejTDOjmPipHNVLXhaUaYFbnYV7U1PrPXLw6+iIK1BJb9Gg/nuASi/RovWC/8p7gcrwxFRUUyNXdq
Evmb1NUCLOj16DnodGXbxugf2F4UP/dCKQ6WwPxS9uZaorDvGHkizb2uK3BTH5L7SZuLOE39TcI9
DKVLDn2PTMEn+kPGqHdSjv+B/lAGIznImASIyI7apC5QAw61dYSOXRza7p1Jp4ysROKtdJjZa2Fh
eVK8NThev1SzgD5JQBTO5qHJhxlv2hxUo8wUGGNrnOSZmM8Q9D8PypQcZOgznmdWs+1/XCU7KIj/
danXmD9dJYLpezXVxk5oWnRu09he5dB9VmaByrqMyYMPtWEnChdXK0g857rqWha4cP/geRnLboo7
/sIfl+AOtnXL1rm7jZP38jxIk81MXPkpqKietbIn8A6tWYfKqjPyalchdLtI3DrAcHN+hZhXkPeW
97ldPb+CUXT2KvU08k56616tSYNppw3Vd1f/KPJo+GYWmb7kbUjPlJbNQ4BB2EZgt3sOtNjEI622
10rqsrPUuuzFUjvYOaVod8PczMwK6eXYqQ6yFzGHDihT0B9HNcxezDZ9d6PeOsHpzl6MiK08v6pD
E/C1URNetZ7U4g0MH/JGgRGdIsVNH2EOnWXcdPIchAak4QlHpTe7L1aja2Uv2L4bd0Uf/nW5lyIx
FqKiftKt5D9e7gNqebOm/HY5IuzGnW+7YmmnOmgMPfSWsUu2J9ZH9gJOG32p21cXUaPnpqqVi59Q
SE+d6EurB86BFE+Dp00RfxnYtW5UuwYtxWeycBWr3orRw2FOr4LT0ODOPqAPvatHLJIUf+xWTVCY
L1No/VkkuFOUyRVqMkvsmYQBX2MRWfnJ0Y3hKJ12pR/vHOL7jh2H+S+L3h+hqsSzsE8jDwhr1e6r
pHyIUKdWt3ACmp+aeMe0e6yiHspWzU9BXMEw9Nx0pRsGCojzIU3b9wS5lP3YlRgHjk2UnjUUx5eR
bbcb2ZTj1LkjHQVFxErPbjeohmrl6gkovE4fnwaPLEKk1684EJZUyEdzBRppTigguI0md3I/8FB7
MZtkEZtx82rolnrwBkdZyqt8X7TL1MQmWvaqryPyfq8kWsJjmuCkBse7YfUepaux9opDHarWirRm
sOkSnuBoDHQWPEZ2YLZxO80R6q4B5B7BD5El6aj+x0Gd7vVZJmfF2ttZNH3F8x2NsiXZx+jZaWKQ
WXilfqQ1SD3P+h4BQyBtbE+PeoYN7TAY/p1hwmdDKiJcKzace7PK8SuaSDdTTUcf0fzWMwtTGvSR
tsQ2YTt4hb2Hu22d6tAtV+6YiNdKmGf5QkYY7GK4kFjD8SAt1AmoQe5FZ3lm1eV3RQlsCoG/xMuq
cTGwx108JfW5GxQ2nJ1qdsfOqvujPGuz6K8zuzeVOzUEKs6Az/BvQ3FH72+9bTfrqlgFicmYslnc
BunOxcrqVjbr+YDuSxG9ys5ihovk4WJMnORJFr9sxfjKUim7l134B2Qrgb/FVnayBElu9ypDVzmk
A+XkIBb+BRM7c4VRE9CmEDa7jHnzGXn3taIKysW4FN7ipSfqXUf1diFHfF6QhEhLufZQgtL8103C
lP+KEyLyM7+MjMur4s4xVm6MHbns+OnuvKBxDiO1uLKVaJ/rzLkPxw4kyNxytPRZUUP3JFt2nX/3
0lmTY0y7ZxtHd7wmi+lozs0CPPOiNJwe6ARXqojWLIXvdoe2nrrnuAvGZYpP3l5eS8Yba8nImHby
2kFlwh77wNje/g8aCiNeh2uCvNahyLVpdTXZyN4+9kygj7O/XokFZ5VaWCh2ffHiWdFuUoX9bhmK
tUoAP0AeCoon+IOXWxxVjlXMfv6oDlnz4Bjiq4zL+4RjjTqn20wXK4N73TWT8z60hsZs21TnIIzd
kyVMizSEhoZgkw6resBWsnSC/gILs78oMz2/4jE5qS6Qsx9xU5jBisKlyQqNEbLDNzXMKjIUWOaQ
X6iKi7DreM4wK7mTsdSIowUzprkq900E+FtjFb8uXTHuYwqbT30+XZuqxyeoIRc42nX3ZNmQEXEI
OPZz6xYKUDOp0JyVrQi+Gl7mSX8nm6MXZWs/CcaNF4NBdNrW2mSSuaMGXrso5lPM4zdG1QXzEoZY
O7N7NHC9xaqJAkA4Mw5Xm+Jt6k6HrLCVt4Yp1UxZkbO13iEyyrcLRORbk7o7TNTyZx4S9R0KsbPD
LnE0gv4Ycb1RtUezz/JgNV6CstTuQpbZdzo8GaclQy6YtBdmP1QPmZK5u2CMhu0QJeNTKoY/SP1b
f0QW8wh6CV/ywkg2DsiLA8n08IIELnIyVmz94WQPljq03xqBxa/tWcnJ1QAF1DWoV8VOjTu0EeqF
x7qHaY6mPHhxb9zNiRng/nPwp1NXRvW2TDfUh9F8nPsbU4uX7rzVZHm/xJDAO5K/NpxVb6vhKlQU
e9WmjX3CwbtlzxPxawmKctfpug2+hg7frAGMduYASZHJeieDVLScW7cZBJBNXKtbDCh1rVoNvRNV
t6YHvHPN7WwshYXX2KTMxsMH5i4VNg3R9OC7bDgRWTnJlryA6qG6GuatqqoUbcrCtl2WSV1d5BCP
Z9h+yjVroaMG/GDOB18gvuFnsbuXTb3zk1Og7mA8X6Dck9avXkzUF/wFxPkHlf/yW+DHMXZJYf6o
wl1ZqykWAwWqLHvbm4I9uyX/lLghfkjkXh4Dv1QW/PCb965M/rqjoAbyrzvW6GZt3SlT11iFip2h
xWhaVJX3ihDzR2Xp1SWASYDdo/siw6Oukl5JJ3frzKMKW9+aItSe2G1PmL4Lk8+aeIc+7moAy33A
map+zdKV/DdMjv1g6Wx5odPZeQEXOxl+buJuqSwoQlnLdJwwWuqN6hgpEE4343zazVZA8lBrpY13
CGMKBFCahQx+jtFR7t2aRaouw4y0o3QG1sS4yxoKVRG/yYUJRvN5tBNBHWiCB+zn/rqvGuelseZv
UP4FYzH35Pfhn7cWoM1dzWpvFRht/mUs04ap1cv2vqeEK8fzuo1SgrsWLk5daceTyuu7LV/Z/DVD
9KSdE7cGFJhVXMTYfyJEezV9O15gbTZ9bUGS8gRLk6uI44TyqQ9b8YdUozyTgos3VcZbDxttVrne
5nNcF/XpMrRSfZnhzde3WX8Z50NSOuTR/eKjTdEAkS0Z1/0QFmk5shZFf/k2zE2q8lyYr3LUZ7gZ
WeCYIk93nx1lQQIrsgEwyrvJ16vVTgPvqmfx16L31wZTwympB3yu2jF8yMDyLIUFCnWsADD0QV6+
a1rzgull+JHpVENFy6zratus1Qq2gIZ/EE6NqZRifuhjoL+65RiQwUmHJ9HHwyorSuPSIQGzEXVU
37cCRonojZnQ2XerT7x8Fwzt0ilcKHoUzKiw9EF9L7tr+KA4w/QfNRvEbUk6GCmePMYmLr9OrYWP
jgaMK1MKcu+xwPwNo0k+7bA5tODxXmHmyeEReZZ93NXBsqr7fMcshexiHRmrYJ5w5aFpoiK4tWOz
yqqFXsMk/8f//O//93//GP6P/5FfSKX4efY/WZte8jBr6n/+w3L+8T/FLbz//s9/GLbGapP6sKur
rrBNzVDp/+PrQwjo8J//0P6Xw8q493C0/ZZorG6GjPlJHkwHaUWh1Hs/r4Z7xdSNfqXl2nCv5dGp
drNm/zlWxtVCPPNFJXfveHwuZqlCPBvsJzxRkh0F5GQlm61mirsK8x3ecnpBJnhn3YuOstXXnv0E
7R280a1XZ2WJ5OVZduRigFpV5uiaOQh1GV2ybhu9ePWd0Nk7U9KsZBOtwWxZOWl0HIyieG1XIKrT
11inGJRMWrKUg9S461YuqdC9kYXPmZOdpmaoLprhFTvXz7uFpufQx2UwKx3oaoF3lC1SqtWl0pRx
ndVuvHLKtLrkdvf17z8X+b7//rk4yHw6jqEJx7bFr5/LWKCGQmq2+dagnAOmLr8WY9VdeyV/lqbw
egamKJtMayMt5qNOfZGj2E0kbKbZEfha9lHMnBl5MDutxdMn/gCaV135yIlHcXv4McqcMyU/Qqpv
Gajyqu2y8KPhJUG3YvIoF8gW2GDIKOFL0CTtQzY5kHkZ4ytefYpMg6zI5b+8GfrvX1JdF6pmuJqq
Gxo8POPXN2OovLTxe9v8OnjeWp/VsLX5wP6pZfHGmYlEkQfC4F/B0hmCVUWR46eYHN1S47+Lc8WA
Mz5fLdvyLBgQB1anlBTipCMQ1bQbchgJCwErPlVBktwO3ZBFqJ7LAORYVUVOgVGy7Vcu2HC/u5PX
yPhtCIXgZ1RJfHQRak1d5GYGK0HHrvTv3yfL/v19Yq/mCOHqjiY0R1fnH/tPP2YBOHTq2FJ/m6q6
2WhGm24M1tB70r3Jc9TnZ8eI1K+Zk1KIas2QvH8QnQM3URayo3CMZzSIvUdo2dGhS91xHQ8ldoRV
84hJK9aeUxI8dE2U7G/NYC6xyDqLSuJ62yoRBj1B0sJV/dEjazEjuvdxj6XbZ2VGnglFt+8/r5VX
fd70p8FcL19XjviMewOwXyQWmReAvNwV2ejf2TDy81s70LH75N3ayl5rHvI5DiHB4HaFK6/47E6i
NLOWvS78/zLbCjFPp7/+rF3d1nRT2HOSwdGtXz+hWtVqdN8hwXdKWG76VHVxWUInyXEhnpKOYf+O
hdwp8qruWDQuYgZd3rzatQjv9KTLrqEZZVctwSU16V1jL2O3QwdDxg8KjFvncTKGCHBKjqdrt7LZ
jlZ27QvhkGxOms0oX9zzCorfedmtoc54yIVA544NPWsWQ6WgX63HnJYwD0glO/UytrXi6CYFfKGf
ThuEmXfR5F08tYYVEGW8431i7pjDrOM0lPF26PXwnEeJWAOv7a8RM8cKw8r4ye9I5ZHN8F6UooeK
N0zKWxIE3xQVkL4inCO63NMTnLWHytCa3QSAjHRwG18EOeGLPINT9J0boGD5I5Q3iEFGTfpiuNPg
3C4oSh8Gawp+9vP6poN+6ZGuDBVmrXwWxpusvIy/kn6CwG0jRuWrpb00zB4/ZGFCj57PYntC0l6e
1lPo3oKyCSDfODR/mjE1cn8Jpj2e06bJ2m0CoN7y4Mc7wxmVPUXgGKVvpdaXmhNglYDYwBGrAO+Y
KE13R14eoQBaMm75FXuNn04Bf69RrZ8On2Nyl8XtSrYtYX2LDL/eenmzD9UieA7UtliZ1CiO+WQ4
J5c6+lKfiwJtOhtvJuYrj+J8Q5XV2GNcTh3Za6nrVtZ4ozNIBsPg+VgZOlBeZ8LD2Lnko2tgWbIT
kHJ07it0EUxvKpZGlY6LUY2wCZsH641LOToL323dbo6T26snUKV/HbIMox5yAvaW/fwkFnWXqqdI
A76IvP1GjrO0D3VsgrPdxM79mGFhP3hW8O72sGPi0WRb1tXmxR7Qu3NzPXyvuhyCluck4IgM5ZFy
3MnoPO+Z3FW3cKMDtbTxpHiV6q87PDYp/wK3c8virCvwK5DuxWI8nco7GcvAvKIJqhVnMjrPfYHG
RsVO3V+zFSYBBgZ2NyLm7K8Lk8WtkoEfkdfJS+SZG0QQjhL+ms97TQ7C+Qk/lnUSJLyxERi8tTF5
wcpmW7HWGsEKB3X9E2yQ/M70Kutc28I6jxGow79/csjlxC/zkm7ZuuuYluNqwnDkMvGnJ4dZRrgb
K1bxVTGibGmTFdrmZYG3KECmt85EwQ5du5fccdo78snoF8xxJ0IpUS3M6ZxMinfxTeN7X1gjPrXs
X1hO1AdTDOqXqCwWMh54ergjG1psZFPLsAgFwfFE1k4/GsFQ3W5bagUL8kZNT5MZpJtEaD3GC0m4
EY7vMKfE9pceeaN4BsX+Fk/9pVG0+bs/xs66xxhon6C7+CVU8xvAOEKr9BbHzbz9kpBPlkDf38Zn
xCVg2A2VCB2Hu7By8se5LrkqstDYyKYyNvkZVuouJt9VILwsYHgHXb6P2rx4xCCbCktTf4yjoq3/
/tNy/u05zzPEphBm8nmZgjLGr0+Rqqx1hypm8LULWpygtfzLZNXeNUpL+9TnVb9ozLZ/G9oA/IDv
WrCVHe0ZjZwNltj9m9kNydZpRbg1jbRZ1wFIFx18yZ02Hxwqa3eyKc9kLDAFtRrbPkQizi48x5F0
UVlwlXghXxALxC524EfTl2px9LSxPxaYZTw3o3kOqmg6I0qUP7vC/KDe0dzLVjAnKZsiqO9kM23D
flm5dr+v5itLn62aP+n2VvaG4MbXelrVG98V6SGYIWdgINtjN/OJrFk7vl02dV8fQe0BtZQR2fc5
quwFMuIOu4WsRmmqjfrvTGbWXN9LhUV9jNzmA/NzsYujmmRKopLCiFWG6nE3D60bf2d7kDNrd7Tv
baTcpoVp5PZ9XhmnKjfHfTl3yF4Z1xrL/i8fvPxgf/6ZCnKUpqbaumqwWdN+X+D1SFF3vevr76Pw
q1VuFSBqTaW/HWK+8KiRuC95FVkbthTRvVU61jWdEN61EViULergydnsDOCgbIFnU6lunXtGuMhq
cDVjj5SZPKAVlZ0cmznNbwyFRRae4w6qU6RahlPHUm//919q4/dFvjB1la+zrsKE1XVd+21pFBtm
6ehapL3bmvelhtR83zDL/HQYetT54DtqLFAme5EiLn0PaqRfGZnnXspU5JuY7T1GSmiQmlnuHUon
tA4qEJpdl0zTvdcN1abAmvkC/axf9PrY3BWhRi7eKOodoGtQQsm0drzU2xvg9w7yrFCj7naW/Tj7
T72fsc9xFNbi/zJV/9uPX5iuJRzNcHTTnTfvv22GWJhM7NnH6j1K048sO5Oe9+6HKLJO4Yzlkfgc
U6TxCsUjc/UZk2dx64ijhsHW7YISjZqFPI2mGUSsl+NG3kAOlh0o2czZD+9upGg9/gX17lAYKIMx
QGvF6e9v8G95qg71LNU0JuueHCi4AwijAkAP3DBRn22pYzLH7LDV7m9DQH3dmvo8xEdzZYHW7IgM
bJ1dqjp9Eo5pHKTZEE7E2cVXzWZnIqILAYumPMixeRrfxqbg/Z2FWQbtzleGTR+JGrqv02qLdijv
Qco774GaYE/vAMYjQ2KziTVfjcZ3363ebpYwF1AX0XrnUiWIsYq5A7Eh0sF5kJ1B1vjnYvIQ3Zw7
spG1S+ONmIGbQX7fDuqcHqIjmoovBoDIv/+Z2PJ38MscYLEbdgG22rYDCFH/PTOAZGWioWX7bg0g
x8s6JPmFu8A6Unr7pTS8fmXWtbUL5qbSg+FW9Sa7l708unHvJSs8Fqb5lLF0kuHRAjvFw+0baqD2
S6uB/3ByQ13KTldgw+LxU+Ew9zr5Nej7J9yJypNZmva96Ydi2aKs/A2YO4wqfXyd6gLUH64p+yz0
i6dKqb7IAZ2S1QurHZsrco/xXeBPyTrxBuVrEy7kgFxk7qpwg/HOKzIXn3iPR/98a/z0nljfWk+s
YvTdoCu4kUnipZNapP38ns8XmaOtqkX1dZwP0H/+ilWZUV3lAamUn2Ny8Oe1StTVt3GfMRGhlMSa
4pd7/X7/0gYVxDZJUD1/tG31FMAJeUt07IXicsj2ea3Yr32Ebnxtv3UNHLqkUyvUmjzrzS6xA4ey
yMK0A1eCwQgiZ8ShV0JNqDPr0mUDmtcJ1FDXLfddQeEPoZCEn4nuYxcN3T+CPleN/R0Ljz54cfPm
0RFgX0Rev7gQBO4no3EegbPp695F3C3Ejfhx9KsOmzt8jyKkK5YsXECYD+1Zjh0mHLySSvFgrTLW
1yiGVfmULGTv7ZA3S8ONpmvChuhoDpq+FT+EUqTeyW/yJ58iKxhpT1usmC+fIXnBb9f/1vztdi2M
vlVpCmshr5UyK5/3S7EcO6gFlka53ay7PtcvZqE1FDh4WX0+G+aY7FULV9zO/n5cjmb4xlWpsXkz
xt2ScHd56ufes95axq2D3LR2dCVCXvY682h5Vgw+4BTGxdSIJh0SxMRaDBS1Gl3lIfcaxAy8MF3O
aJpbrDGNaW9nM1x4HtfOB7Vp4bfE4vx5aWS3yklM7bKPRrFG3ejZcNzxaqtTvdT6rt7KpjwMmdYu
+s5J911TTFcZ01LgwQqkJ9mS8WJ097lTjPefodaM0M9vo0umm83FzD48jVJxneBoRKp1fMXW64N6
o39xFc14GLTg1Iz28GqWlg6aBvUmHFJ+HtXHzDRQK09jWoDLhzG4jEY9LZeJf/KQNntwVWV4rP2I
XTQlw63fTcOjKEf9OPMPHbfLSvKTeECBcwEpyNguVxzIKDyctPhR8IxAl3+8sg0sHtUhbdeW1ou1
bI5uHF6zsVzK1m3EWGpLwxfKFsYyqTOfPTLCXna10T1DvwtFx+qvz3bYRNo707D6ei875CHpgX1u
XFOftaz6aiFHy57GVu+DpCgfNBfx7LIx+/vYdrST1wJIAkRafksQIEuRdfySp2m2zdBT3JlqXjxj
/XWVA95D4duHwK6VEDU6eB1uY9wPjjOQUxmHMxTY9AQZYHEbobGSuVNi4/g5Qg7ziwwXNasBmWyo
DovlymF3HGBNPpjD/J4l1Z3mIyIfpDQTq/H2Wdbra9QaSpQ1SVTYg5d+0xHQKWNr+I5REcBiLDUf
uslHHidtrJ0XqSNzr2PfhiT85lzL/sOiqCzZFZcsS8c9z+MUxYovLUwvTPoGBADr/K+DOzc/Y0Vq
8DHORMsNCDd3EVDLfcWqbymVA9LKRndPBYgZlbl9DlQey1IxYBqTBzstxbHoeZenokfxGdXG98mZ
KUuaMpxSlVSVgZmIMNikgvxeFo1WvsMbAn0UuDlcmrZ9g5prJVn5PgHy33r1VGxlMxGHYvCAhw1j
uZtGo97Ii5GEXObw3L70ioK8kxePaxkP6nDXRJr5XExqd0h6w1zJ22iVfVIT0mBe1iMd0KI7mZiW
AVvQG94MbIwXpS0NiqbxipH7u4xrPtht8N3S2GB4jYe7YB4uGkXduRj2reWoQjXPRm1R8gUBfa9b
hYJiZz+8jWaDBEC5iPFbW/axYz5bamsvhqaeXhu/jnF7CsevZuTDW6/Edz3KdpRJfECYyp853MiI
RMW5ZMceLChzb/o8rT5iP70qQ6dfJz/MYEybwyUDNr+EMOFt4ljM2r5K6+1G0eSs9YagXntRsqjQ
Tzy7ppJ5C12DIVjxlm7izEclP3oTgeqywyor5d7rNeV+sNEBi0V5J0OfcXmm9l7PH8WC87cOI9CV
9cSLbavBwqFris9OEiLbYyje85jpCYhmV7m4eeFf2eE4Cx0KB5VYYpbfZydTBFdKlMdI1fs7fdCM
s9r45hm/kHiWZVvLkDykAG2waRnaA6VIMrMtSwZX1YLnPgZwC/QlBkXShs8oddjnuCuZr+i0vHh4
9PWPvAzD5+L/M3dey3ErW5p+lY5zDzZcwkTM9EV5S09R1A1ChoT3Hk8/H1DUllTaR/tM84YMRgVc
oQooZObKtX4jq8XC6mM8j+yuOnbjS6YGyDskxUZ2kuooWyYv49K0czos17VsLiDxLadtZ8flUYft
pXEPaUc5FKo87Fs7zjHQKYP7oaMM7gK+ePbxzah057kRnj9zkJ6i3uoOSxfE2OlNEPjyVRApMwFU
em+qCMcqMNIaBCu1ZiPp1fVpFVV5/dCXqMPMzKUO3+6hSjAwKDKaSSDi4iGHKLjEGMxbW66RPyQa
cpb06iZuMayquY6RqJUiejmu+qZpbjy0pOfTqlU3+Y4AMzitoqho7+Elgj8aD44HQz6qmfstUu+d
cJA/AwX/GgDRfOrK3Jm5hTDvo0ItF6lleDew/9JV0HbysZPyjuR1L++inh8pMjIkVvDzmRuyWl/D
sA03Mn9bQ+mrS0h5YuEWvcIku/mmKF77QtOQiih6CYjsZiHWCB9yv/eWRQZE+MVK1HgRGhEtQA4M
+9Dm6gabRRpAphsfkjzRdpnT99fjWl5l3CnXSx5AAUczSdEGREzl+MF0dSDRrlTspr22kqC5iK49
kHj2qk3XonJnD6tplapxsG5J6C2HPokf0KPSZ3EthQc7Lb0rVVVe6AybR9+L000Gz2ZpIEz56Ka2
Qtovk1FlYa/deAfVq9LbKqEHES7CNuNmM9eLPWzmqUNtHiv0bpdZV8rraS8PCyr3URGBz+KUbbso
gCl90JHRuzJb/afPhRQYL6f3aHW3UrFnNOSmvMVxLAWanGPZFRr+pYvU4sIq4vIRufRHmEk8n0E7
p+Jtf7EGB6DW+CYB92TdeQKr8PFNngVSS8PW+HHwotObDKudW0VmfXHbGIEKMyhv3fGTYtX7+ZMA
wZWPSeE+GpIrPcd589MnwerdDJIxoy8VoETHYvxUop9eirha/cMkb8x1pFOx/lSVpzyk6rJB4gwA
0u95njpxMk+S4VOYgach/FmHe7VI1A+xGjwNblBeIfynfvC0EARrWdx3OaFP2zuL6SC42NgaA7U+
vcWr+l2ggyqaVkfA5BoVOo0fjlNYndQu0CbRNtMZkYgEZZGFFJ/Gvb0fXIVY0FwrzMp3ZH/8yzR1
ko0X4bNAtIbwhxj8g2tH6cwLmFKmfge7NO5wxoqM++kIt3tE8625m/Z72I7w2dXltOYrDEVxL0e7
3vY+WKVtIJiiMRuXjbVTaNIIJLQOcEuhB42rpZQEmzAMAvBGrNpR3iGvaZubaVWvDJihWaXuPau/
oyP+oFpGcmuGTXIbMuUAiUmGvsloC3M3oPH6Sbyf9oIYqY9//gUV7bd0FhU+25YFuRoDlpA4S2cF
Jr1JXlotM7yuX5MgHDSqkgMdoxMjjlVhph0cayHre6NIeKi4Voh2DgVUoxfXTvJFla3gNivS8DbH
xHprhaKiPBZALLfREpURJl6Xsi8t+zRrPsoNA3Mda9WVW1qorWTDNpLU5uPQtMNmEMA4PcThPuYa
yhsDKbBLQ8chB3z46e3QQ6qtVdJ02vFsWQ1D1raM/NhiT/KhB549vb3MhnSXUR3GgIvD8hFOkehx
cYhBnz5ar59p22W4t+xEn09HuQJBP4XecT+dA00kinX9QrKCbt6RCbxWUZi7zjBfcOneLn9ssgWY
GK1DtG3aNr04WPGsdNR1T29Fzlk56LnxKGOie3DxV9ykWoze27j0Y9vfLf35ODOwX89n/7V0dpbQ
t8Ua6DQ1RPmmbCRnHXi+P2eCNoyztOFGib1oJeomXfzY5ir1sGhqRVtOb5t2NLqaz/XYbNY/tpnC
QjCtV/OVaIdv4MCRxywVQctz5a3QSGMNokWpuvStW/Tf07mRePWT2oh78GMeIBxpyQYITLKVX2p5
U3768/P9WyFb05gjAMgwYKGTtp32/1QwSgwmOb5aeU8I1fjhzjA3pZbcQ/Cqng2rXou+VD7JriXm
nmpqVzma+tvCG4w1ZP/0kKJ+P0sBDs5AWPGQjy8Ssv4LIwQJOq2qZXX556+snVdNNNMWpkZy09As
3dLFWeLMUGTX96hKfRr6bhHYQwn0gRc9yvB8Ns1qwzQ5nLWy87pN7kwsvvGzm6mx3jyZSbmH2gfc
XIFiRRkB8lQct08ueP1ZLGL52KIZdif18ZURy+1TVvADqVjKbGJvAW06cxP12FcFqc1Ox187jRjk
DdtSsE1kz7Q0vUwHUoFv8a3y03+AIGjWWcfEhVumgYiyYergaUCo/Fo8gkUPwiAZ7QcMOkwR5emB
+ow7GnmzaI4vseqmByeDc04Ce3u2fVqdjvhx7LQtEilarZGO1994krPjfqz+eG9qQ9yB1RSgCau3
txri5ntP2E8QB8iBlHqPQYPpipWll+wdD4EJOu9gzl9Pm0BrdVt60gFtWnZOJ2llbJxKy9c3yNF1
t3KWt4hpXIsg5ZRSw7PpFjWqLeMbppNITu7NgAW4++kkMMz6yxDruGmnKOtw6WStPhVK9hE5QkJO
yvPh+DItVaWezpBZrpdnO5IYrfbZdKBBU5mrCkKyRZ2ZyOmFw9zT/ObejIz+khtyW8cN6l7jS949
wZgK7077DVKjBMnlYdoHOENNkuqQRnjeGHmFlqvrKXg2aPIhUvLXpWnb9BKOe88OnrZNe8tKN7fC
RZ2mHdxsL9s1yYc+uhFKlpEX//4y7RwsBO9Xqd5n+2n9x245QNKYokFHkdbGb1capJU2jrzK+CKD
ywiUOr60xnEYeEh4HKrkqj0Nw4DkV5i11tTfx72jmw8SnAmVRNAC00maPJZvRL2a9k1H+fFQbFFd
7QlUxrH87z5Vafqt7+ivnxrEnTy3OgEUIR4GFHQxaIyQ3HsqQbLASsvsK4ib1tW02qq99KS2ZPE1
BBgOTacmV3FSfcZfWLtEVV6/nJYMR2cGiEuGkWc608QBcMm0I2Cej41EmS+n1R8v0zsKdF1/bJIp
PsxqJUQmpWqlIwAXxNjUxFp5siEdp20/XjzD9eZu5kc7ssfhHg0vHADHpemllJw+nU2LVK2iFdqo
V0HtRYfATVDAsrJkafEzLIogK5YxMhuoSqAHTZKrg/hWv7h5in5G2yR3ZUXeuu1VeXlaLev6xsY2
SNV0J52LpCD1kmcNfnQc7NltfZkEw4HkT3R0qeEheyqsmVPp2mPXqcayFuWwnlZTzAFn+tCHV7lX
uh8KIhbFjvTHaOgbCMu/vMtormNIMoSbVUBeQC2/0Jp3PaC1R8dIi3XaMv1JUy9D0dK/nQ5A6a2f
mZ5jXHe+3exFliIh3NnZF9Cg4wmsTLIWCYCgPcJC6nXd68Ns2gEE6oZMSfXQOG6GugyCsmECet23
1N10gMjRpJZIujQWfqrZPIwdvblvbSatDhptzJyL1UjC+dwtEE4EPBRCYCNk1jaOr+of9BLI0bg7
sELQ3AbzlbgtjKXliW43govhfSE9J3nSPp8U5zp5kZiIZ03EDDcLt16ZxfBy7Wrfpe4rYUPtmm/U
E7IbPND6yyLPKU8BwXwq9WGp+JV0hd5Cf9vb5JUyMKSbMFG7WxWVxZtaP0z7pi2FYmagbjxjPq2S
u7jRdd3Y4anobUtf01ahrKQf+6RcTffC6Opm7lVDeRlHOSW8XojT7UWIeZEkafKkaDRqXHnkbed1
+Z3A8Gl6Z6KESKBlAk5CCQBH0l17aXe99wmuxumHUB1E9loLjU4Nr44rOcqTuVEgjCA1SF4mOtqm
ZQ5PDnJrbp8W+mkBJ6HTwl+7evl/c8zvH8F5krIuxrDgx0dIrir+YVhWfx+VcabSZMCbuqkZ9vmo
LIRb2bFRdw+6PlhXYVRfYd+RPyk1/pgNGi3raTVBtsMoVBJmBZXBeVuTguzbhZO6UhNye8xsniCI
B0lQCoDEf1+SdNMmyuiD9bR02psb/1CaRKbk12nrGFlRljRMDHKBEGnncx7mDmWegaG+14sW4U1U
d+VCUzamjhjntPRjm/0326bj7PQK19BZL8VUpdCMibY+yeldM+RkHiPb2TVqtu2TIdDWSueYq75m
5Dmt406zQs8YTZQuemrqKlpoZWHuchtBUVHeBaYUEZUZydb3/JjumdWgb77hvqhcQ2XSIP3536aj
yADES83CyWxaLZx7E0jLYwZccNWUVmFcRl2SozXnZ49qTfxRehX+j+Oqn6ULV3OKezce9BvaHzHf
CNDpTZyXUhvHTY+ZnhU60dpDyemqpcp7MJ1uNa31YW1fTUtFbcmojOGnF5rIT8+mjZIRP6Gg5Wx/
HDy9nyzVSh7fejp2em9UMxpPG5sO13Hf1WDJaoqzdn05J1Zps0dSwCZIgCzaTVcS2PYtlUud5K3f
PDRVQoaXKzLwK5jDKe9Q3EpM8ZTF/mcvGOKv/hA86UWqE/Z3Dg+oBbIRc8j78QCfceLBFzldXWsD
th7DpdPiFEOpfcgvq/R1Odc1vsSPwKpQ6syZ/wilUCjFcwF23Hqo9Xhl+UO+JR637ikT32iar33O
hBOimOhql5rmZZduXjIIjTtqb7jMaFgPtpy4W9MvmlXe0uGUwddpP6VnbzlEWNLrlTx6MzjtUiP8
v4wi4opWsbPPqh08wvJqkPVTxY5CrrSYtnPX5wH2wB9HLdV1W5vl2sxs6aOHeM10QIR/1FJttWKH
vnpwn/gkaMYTyq5ezK1+sI6wh7WrMmsoyYw7aoeCL0pW0o3qlM5+iON8YcTCvg5aGC7okn4oi7RE
vixzHwRzg8xV+sfGNLNDX+joJ/VJ/wjNw19VvpaAyGevnyGsKmH9dDntLeA8mXryiMpSd1lgm8CU
hKNCfxjWvSshhlT7w2MV1OFcxv5mP73JtN1ljXTbvVS20rWZ4CQ7fTC8l61pe81iehOmi9Gicixj
i6RZeSwCtFmGfgDYUY6zJj/QHn6s4hP1uppnTrEntfTz6rTXL0g5TO+tRnclP3dJ6cbUHm2dwr/w
nJ3vNuJ1kaGvGf2pc2enQOOWlr/tm94hOWKphYYMJmQbJo4jPuZdWSDZgeAcAExS9iEFmkY1tlE6
StM5mYyvlBnss94Rd+Fg3Z62R7ZB1g2ErFV1zg3R9PO0vSQkmcclggCQlqLruMqqmTdCTaQeu5bY
s/QrY8jbS/Cf+EEEyOo2NcAaxHmXZlKZu9MifjXmblp3KMassd1EI4dBFjEc/Zj0yFiWOVY9p215
bhx9eZB2P4Frxm2uctMD1XboLAhfQbk1gf+laN1bM3D856bN1zgVp94si7/EGIQHs6y+YmYsvFka
BihauMNz2TtXRmG1X3Df+TYUqfKkDnqHKhgCdx1p7xkq8cjsOqaJpGDEDAICm804JDvoaTYWSa5x
cTpoWiq1Cq8oy4rn0zapgDIzkzzOEU/noILgr9HvfJl2/3if1WI95nlDumycuJvZyJzDNQ3dpWTk
+iVzXBk2q6JsEzuoj+C2kIkTXnknecTK1lA0n1CKu3Jc0IozaeEmTXNiN/kjqWliNk0sJteNlb03
gPwZ+U9VjzWFocXprCk6EwAaLyT7oD9keNbZbkAgAplV5fTXKKg1O9crPyqjP9v0Yo9M4tqNjxjE
S/tp03So4SEK6aBzuvhxrOnhPKgIbxMFhVioau9eqXE14F5l9DjTRfqxCuRmqdppco8vlgr3VnO/
aB0QmJIYetaE2SJE1udr2oWjAp+iP9g+4ofTmQpXeT1TOhq0aoakrg2pEEdSW6nwvaM1rkSEoce4
HSKE3drcX5WmNPoisMeM9AAeIv6cc5CQZE2CasNCfOjGpUDJ44ObFdUmxYHwtOT9te1sb+qW7VKG
yg86QN7Z5EZhlYyLniHLO0nwMq1OL0KzEmN5OghlQ6FitMGhVmgo81TJ/OsG6c3I0qJHID/qztLr
cqEaUJ3Ry0AZzCM7AF0tvrYiDR/WcQd6aNmitWtrl7ue/aGI6nlk6B0eKUD/k7bpV9MquK8tTnLi
Hm+fgHIxBLAI9e0aP1duNdF36pfOJ0zb/XmcjgJlklaskshPDsjygmVGdnedD25zo9hDP/c82Oty
RPFBGzNM7phrqlpf31pJ8fhj07Rk5a2+8Ec3QxnDHyWMrQOO5BaTfnhzKM2JuTquTtumlyEjcpnB
OcQi0kKcD8Wgm4IE2FyhHoaQboaUwrQ+jOtd6YJimtYZxb+vu3HxqMsJml+J/FEGPxwXcvLCBBHR
zkQwXwJo4IW6cQtW2Fh5VubvDTN2j7U1Fpykqnio0wT1C5R9n+svURSmL4kKhrQoVOtBotsDOBBV
R7ct1F1qxuE6yuv8llknEh9xHn1pMNyc3qU02ZXb01sB3HPmdK3rP2f+VPEr7YYqoW6bqkxa2BZC
k3mcfs15kaP0GkvOnK8iHeUPBs3dx+T64Ha8qKVbfonDYflR1MhcBxisz0P/2KtY4ykltGJJKP5V
rXZbnJCw/MsdjYgsvfSDotzW9kIzM38dZ6l36yW3UVhdpZqr72RJaDuyBRi6pFk095saBIwO2YBZ
k75I5R7Vry6S6To4HQxaND5X9aOiS/qi6tFvI29XraFVkE7WCqgilYethbIzRvCNKcMKQlD6o6og
rpVoH4NnkLPa9ZA+YEZng/RBwVilvolzlJUcZMVR1nFRP0j2gFGRSwETrr3YUE2N5xArpb0Z3JH0
QNVbbcsr0ePE5TTQbHxUpPeSbFJyRyF1luDTuopBpi5aB38qy4vmjlDSFRQuedU6kbYaxNdaV5Nt
Q6plaZIfnwuETFdkwLu5WWTE3qLeOoMfbeDigpUZwA2FIp0h0QuhEw81yecrlyk1nlCg4Rzns072
h7sW0ehAwr2x9xjzofeiKaKG5hIck7QEeJetes1SZ6HXUroPq3whI8iG8wNaMlKrfg5TJPsaI8mX
ieskM0nK40XsqtltABoQSIF6RMRaPVZwnELFr3Fk8OYo3HQ7AMf2HgdDhM9LCFLUDL27ENLkPOpU
Uo74ugFCzIstOnwL9DAp5gfVdkDHHrGGbGZ0ZAyCof4ay7l2AD7zxfW0tekRMxl5GiQzp+nzHdlw
t3LjQ6zpH7rA0HZuJZuLUCDfS9TizgPFrvCONEpqLPfM6uIDZP74kNNJ9x6irzWMjCJwsjtPz+6F
qOKd8ClVO/qe9PUVsljGR/rerWdh7o7vuOUlx1QzgsdCitaK2baYWvnlPKUceaMDpmsKfRZ5JuiH
zMMADgc9mLLBrGma6lgbuwEYxHJU81xh6nusI2s4eikAFcmkKg4165A5uMzKMLJWZqeLXZYHH9LY
aY9OT1I2RDPDUgpnU/fqjcV8dEaXbG2RLUUUWu3ulKCoL6cX1UQ5scsTLPi8AtBVLmt7rS+Bymnm
IaMae9WCRFn0hod8v4kNLWDbeesMs0o+urklPkA/nFmet8/JYu+kWOq2vd08xfDHj7ragY3W+Bk1
AK5zVcNYmBk94Ebwk4umQCDBGSx13RHJLmLVnPuS9lVu86Xqqwwvfdcd5SS+ruDk4U4PvhaSPPIY
vVYtwqTGCD32liQs7HXkmukCEeWF0bmfDVVr/qFbU36dbtOrCUWYAronWQMsYM6RwCiRJaZd2Mk3
YEfqY9qDp8I7xmwkCDmVKTHpgrSMhtQycwKo9Y3IXvDNMNceIxo+KSH26WG4C6my137Twxqmbf9D
z/trIZuvaOpkA4ArKyqVCFM/Y6ooshoVcZ4Fzx3OUEh64znYyulNHikpnrV9u1FNXFQy8kDzjLnj
KlLKmdaCtJpkhLMBVY6gR1Rci1aaYpQrCi5MW/wqvknlxF7Kg6euhrGvTcLWn9tGpC31WOABlHqP
VS//0x3/NUsz3XGA14oAfg8p5Df6JrlMOw1htn2LETTboblo7EHsLPCRDzBlitDDwqzFmSXwXWek
ax2czyMszVUL5qGw5n++ubbyS7pl+jb4siORa9sKxeZz7n4HyF9t6FC+2cxC0D2pCwy80+fG8kbS
Ul8tBt0OZ0aAUovVWS+aFH6tq6o71K09bFPdWueyyZyFtOGG2LDbOZIH4KzyzZXi5ejKD6hJ1o33
EQyYfFkO3mVYmgrgjsY/xrUarWucOMRySn9gVfkopb4zU7Pg3q/zO0Yxe+lmbYyjWSTWhaw9+hFG
j4GOaptuhKjGjQWGoLZrbhciRHVuyEvFbbZxXKpzT8jNvHeVAq8uExrRuFoYRrQsW3PvQv3C9yGe
xR1ukAh1vtiV762FXz2pyYC0YpbeppZu71RX2bW+dIc2WPAhpNXOFMv+EqeIBWp9Le/B5eibxGUA
SaUoWAtHLfa0lGLENdf1i+j1K/oDWHBFtOxb9GMLJ6wPqlxVYGptTBvkbF/ldXWMYuyYDTet5+gV
h7NQtnzyRMo15gkS9Rsfp9KyH17+/Psrv0U1PImU8AQtX1dN0zqLalKUUs1cuMm3xJS766awM+y1
HL2dU9e5Kz2VaVFGVl0dn84sT70bQV/w5++g/vYMjrVfMCo8iBol1fM6sCKZZQeddfimpNFXXN2q
A+iNCHW52AWlilLMVJxWw+II0GPNDMzder3SLUlpA39uU2vlC/ULxgT1scMsF2mYXtpHaAoEfSIv
2rZRD0OLLeifv7ZylqqcOiZsBnTbUhV7rIWewTOUkOkkuCbzm1/w8Mmh+GzXrbrAeBCREMfNt4lp
AJEZqg/CW5K83yKern1KrW7L0A1ZFR9CgpCsvZSabEb21d6VZh/NAgtvAswM5gq/GaGwpdz7uSIv
ey/doA8lL6rS3SsW2hMOFoZGGS/wTzG2nTuUCzKn1rq1yPW1VYTOSoxfKOZMo8x39OhIXbIyW9SY
PWrV+xz46DJ3HJRYXL85mEZPPYcyMlRcLEnrNChnedB/SXRqmx6MyHko9fWydztzlQrLYx6aNosy
aHLYkL29cmtt5aWiuNHaKoY7H5nLDt+ulaPrARGJTbQq3Jbs3lDBd9PyRaG71dzJCFzt4DPEQK/M
v0i6Lo707GIhSdj3KhbGoTk09ZkZ+D25MOceqpy9bXX/pSbug7U0xc5dv0WCN9tkZQWamKzLmohB
2aGh6yMa/FXWsPVFIEQrGny10srbGmOtTWe6jfulj8Okp2/L1u2WLRJmDAEiubNRZd/YTf0skFKM
CWpUZaNAiLvOSiLVKwBIzO9kcLM7pz/YahZuvLxVZn2j+wPZkmQu8mjeY31+rZkStrI5WpatbHvJ
jMqFdOMnHxMdAANOFEq8x2+T2DBRFm77gth4fFemurHRm3KYV6SgZaFcI3A/2hzBJkyHqvyHYeCM
EHR6lHVkH0zS7zaye2eEsFp2bNql6XwzCt8jmmqSWWhK9ioEgbRSZL+m6Nw0l4YhmkvdVfD3DNx9
GkFtJ3hYdXpz14yGgzAX72N+lD+3tN87CCIAW9gADhRDNX8TmNHUdhjCrg2fW7++Ajas3Ck2cPcC
hPHcod9e9HURXVeooYGTaOaK2sNIUyxlXglCGEnD1bsslfRTZ9UgaENTAwQZNHdme2+n1pfe7bN7
l5r/P4FF7POxlVhFU6nEaJpl67S8X2eMhuKXcYllwbPkInwzIKnYpuZDFQUMXMiXroxO7Wae5KRb
ODuUh4DF3qE2fG1G9i5RDLGdJlONrB2lsgOvl2zVFrestGa+o+BPMXNBV5pVWx41JdsGJA7XiuWO
QhwQa1BMs3dFO8gzzSnXWAN97UGKPWmhBXClKo5B7BRrcsPhfdwUpM3ofaq6e/zzL3eGYJueK0tn
8mbJQgXrap/hZYa4RhGgC4NnK1bLpR0aLuOJA+27tG40Pwv3RqcYS7hSz72EUVTd7aS+FPu4K5aw
lxAgbr2j1snFQcRehr618tHEuP5as6QtjoWNVOkfIPviBglZYwF60Z/lZdTMSaqg6RG4+eWQOJ9q
uaZTc5hUwXN9cOD17IsaLfI/XyvPz2+/N/gfhlDV4iE1FOOsERVtLErLTZLnSAh5AZK2vYQNbGO0
3bjm1ifouYr9cAFOJjnag3unV96Lkw/qPJRVsYp02z1OL6lNahflHkQMBMhK6FZBXYc3dFXONrPK
JyyYu4NEuteq4qUvFZcYKncIMJAehd14qfPdrnUEh3yerY2tu3jaR5J+3VHuuwyTJ9/cYqkR4WaJ
jwN6OImtzURmQXeVtYfcqJcONXot1JU9puRg+atGRmkXl7Aa3EwCPT4zGUvIe20cN/DmNaYhs9JN
xuIHU6zhVsTJrNcNCVOTGAkQCDpXyBkkh2pUPXJjO8fCHkFwsDR8MVFLH6Q+yheUKK7AL6aXandf
VYO/Ycrpkqc3IHXHSYbLcBPNAYKr80F7IEAB4lm2z7VR7+28wMuH3hox8BlFxfAqIqibDQBalwGO
J7N41OE3RIFVcZ5cEkHae8tI/T1FrHRWhbrYKJ7T7Xqrf+n8WqXqkCg7Z3R0ddTk2atzJBzIY84w
DegOGS4dTo4vZYW2X0dXuBKEKVDkSHjIiNaMqVBdjBm4pjFnWM/su6ZAVCyIPhh6gafl6MCrWuTc
wAzBjVH2pdeXR715oUBfXUVEDzPkMbZovbVr3SnCDwD9d05Bjjjtv1iR5B6Y9OSrzkXVuwBaNwt6
VIfIjct7Mb7AkJ7h0JodXCf7gvbOcwEPfKOk4hJhZ/1Wr+tuY6Km2qJLe6X6QCo7EX9N6uKoG6jS
V5Z73eKzdY1Y6rxU4lucI9IX02UsNC7J7ZuPiTIYs57Swz6R1ctOKOpdr3jr3srC65YZD5pnfbWh
WyK/3XotFkIeTFrwehvDJ/WPPCmDcRbby4ChfA/ivT+6NamqwbLLaxf/s3+IL83fYlzTUIQmmD+a
tgLe8KwfbnCm5KnT62cD+5h56PWEPTG8LMuu6UMJGa4sK+eBLFcqXu7ZLHAR8jAUd+FhzLg2/OFr
3PliHYUIzgcC4fFPZD3MGTJZ9jYMxgwVcTzj3wGHSMggSOHRxblHuBmz0Eha3F8cY6Zq0KTdtrcW
itsj3x+3/UEuP4VRstEAfd4iEZBiIJjUR9SrxCpIlZdJDQbWyBrvEm0rOmpAyJeFT3HZRAuoY4wi
tcfEnM9qY1+s4MSoa8gDcENdP923iGqFo99nUhb1XR2oynxo7mMqX+iudcFSTpAG8obkubNAGhld
U61dh4JSOD7CTuFfNkHTH31DXFdDVpxm9f/9i2pcOanIfU2RFQMMVp2t/s99GvP/f8b3/HXMr+/4
n6P/lYpk+lL98aj1c3r5OX4uzw/65cx8+uu3W3yuPv+yskwqv+pv6ueiv30u66j6897TdSCON55o
UsW7T387xX900HeVvb8/0X89T9/rvs+e/++/vqZ1Uo3fj58u+dfrrhHpj6nRTwPVX2earuZPZ4g+
c9H1N06t2Rdi5IIDNP/Xf0Vp4r5ul2z7QkYDDIwn6YHxj+wRyoA/3cZ/d/V/vrDvN/n0sPz1lX+5
i7989c/fYj9Z+GVV+F+rny9e8MX+s6s/O8VPV29eqBAt6SlBzIx/DOs/3wRFsS8MJEqIO5XTXXhv
N0GRZZJMf0k2/nU/f38E/v1NUC9MwyAhJb/eBE74802wjAtLB+nLPP10D053/R09CYRbY/LibXfB
vEBVjVn1qF30y+WLCxUBRRnU2unyT03uHV2+adp85zddva5ckApmpGSo/LuGYPKMUANBF1C8uxZg
66fvdNaj/P+0AP1iyoKTlj39xPR1Pz8CiqJc0EIQThHUk/mjm3hffaFii9N3etNNsGxyWZry2uGf
tQNbvSBJrAji1+keyO/uSTCNUQ/xTe1Asy64B0zRdPV0kecDgiwuhG6SuT/1uu+oF7BQN3rr1TPm
QwGmlvT6CNDT/9wOTHFB92jokGBO7eTdPQKaYVj/YUj0b8dDXb8gEYbSAgPi6e/Xu2DZ9IV4PwhE
j6e/d/coQKkai3lvagmqdSG4RupuZw+BRT9gYcZJ0em9Xj5t960PgaZeEFSoFvnQvx0SLO0CHDsV
SdJb7/QhQJz7raEhTYH0pUxO+DX8PRsTFIW2QjsgOjo9b++oPyTnOs7239QIdPlC4drJ2bx2BWfX
T1fAxxiaACn2vat4b4EB7fSNd0GTL6ARMjIIzvTzeGArF+h9UjqwXm/PuwuN+XWst/aETJGZH4KQ
+D4cnHeIBhMEhSKg/Ro7v8O7QF3njQ+Brl7IVIgwodL/6vB+eRY0EgmyTBb8df8pFHtHHQJF5rEE
/qYOQdMukM6zYYjTHsa/sxZhybQIxgRmDKf+4N3dBQoAY43tbXfBIgQYgTlMi6e/syjZthg2yB6R
WPpr8Hxf3SK/n/3WuQKDozUWJ9HaOl3l+eAgiBNl+o2x9xj/3t+zYJPYeeOzoIsLjQyaTpL9dJVn
c2fDvlB55nQ6j9P+d9c7qjLx7BvvwjhvHNNH4mxsMI0Lk9qDTZdxuvrTWPyeekUdMfe3Xr19Qa2b
6udPueKfx4Ypf2ISJ6jGu2sDqixGKeE39YeMjSSJmQzQ3v+uPzRJH4EaBwpwes7e0c+PWK7y1gBJ
N+gCJgjh61zofDjQLwBJ4TGqvrtJgqoL462joU5MgJYA04DXBPFZH4DhzAVJM0V5zc+8q19fyG/9
9Zkpw40YpYRPPdxYlPm58TNHIm1KJwuIaPp7f10AMMg33wVCHgNVHZkYc/rjhD/fhTF7asLMZqp4
uk3v8C6gFvbWjtC8oJcTik1eZPo7C48h0JBW4W4b2vsLAxDaevP1U0ahWKiZ5qlOMDauX54C+4KJ
9JhSeq85dKC4b+8QVTpEW9XHkuHfPQWkkekPqDh/L7e8v7bAYPXmohJBEVqrDIx/HxTgnEfHKLQx
yTrdpdM49J5Gh3H28tYeQbvAlMFQ7O+FxbMegdAIIXoEHb8Xn08d8Tu6C1hJvL3AqFA4GVXDvqcN
ziMknhVaC/Pp12zzKXH5ju4C/cLIH3pbmEw2VeOHFtrfj5EmyWTCCKz6XiOJ9zdGaODu33gXNP2C
9JEGpOR1jDhrEcjhXYBT40aNINN3ljbRDOWt4bJGBRWTBRMi7eln5rH6eYw0yalbQh+tCE+jx7vr
EYB1jyD5t7UFk/oRgj0WLeL09+tdoIXQZYzUvO+N4b09C9yEN9dXSJsAPEKmlhTJ9Hf2LJBONWgq
tIXXHuM0U39P/aKuam9OofFTg6tgDv2aTj3rEai4mjID6Mg1+v6svLN+QSfF9cYWMfYL4A0pMZya
/TkWz/5/zF3bUttADP2VDB/Qya0lPMBMBx6gLW2nFzp9XJwF78TxMrsJkH59j/YClk0Lg/zgDE8k
OVbWWkkrHckgaMEsjsegOw1zFRDipAzH61k4SCqjIZGe09VSAjCw3iFTh8lYyWAMjnsxxSlfqgQo
uC4OwMdMpr9DyNzff7OYLRZUeIg6MLxAibiUwq0ANh7GPoNiknIFRO9jLhJB82SBiiMoaeEVl31A
ZpFqbfHWiLYCHnKL4Dtv+JZzIBcJ44sDVlrwIf1+jOITHyDfgncLvzjGnQ6vVjIBvNzZfAb+8nCP
TuBQSffCDGYf0cGYyqrh1baLCCFgDhbzzNgbnF2E455Lg+Y5wkUkkBEpJefX3gshx0w06JR/HNzR
AcnxKYSWBc1ILKGMOkVLz4P1b9pFpNaQaZ+gT3ic3MPLg+YXGI+Htg4MGauWoevDaN9oHXn2A7k1
ogvQaupgH6QmkAj92BRyxOiLoS2j8WZu0wjXSV9PP7B7aXat/KvyP0+NdsoV5S68sUtiUsfN4d77
Sl2qtWr2ZMAmY38+SnK4x+Rs3P9ngP2qhUuFajGuM39szYEDe1wOvFK1Vz6LSL05kZItRT5Wlbmy
rjZM6tj6IsbG5G6nlrYpdeRQy5HR6VpsDOaBMPDQqCAFP9GVulNON5Ej+VmMnLqMRvZqdIxx0utL
vuyUys1XjZ1Zr9FuzElyZsnuZyLsSuVHL5y75iKj+EhcWCnyKVbcmIwT1HuGql7+x+sX42ypSqaA
k0hblQp8VmFuHubpZQmDyJERKobGQCTVsiKRZihGtndcLTBfBD5TCvuxa5siCUwMDIBtsdplEcMi
x14sKfQnuzW+s8wHgcwqxT7H9GBmPcBO6MO9nCs8mFjVy+ZyJHKRXGTvVVFuvd5smE4n+ooY3xSl
uVa8uTRy5OTQ8AUYrMI0O9FO5NjeG/zd3DDbhCdhUOW1D3S7dW1o4gqIoS0e+cBtyHQS6u9S5M/6
0qlW9ASCNpW25dC3ivstHL+pTioHvhudqvWNLw1368CnCmQf+B+085pZqlTS6gP8XN+bgrkxgFOl
qA/w39atMhJZ2FSiF0NbtylHx8pZeEq+OWOVp58LnGA+Zmvvx/KJFP5LafiKx0y8GHZVISLhpxqM
R6P0thjaaTxcMOOEWxnpZ1Lgr7qu/a66Va1jQsrISuG/lXapR2e+49tiqlMK/91u/6GIibHfzwW6
ipiSlFL4H1h97b1mIQUG7FICUI59z0+ViY0gxf25UWWWjhQRFG5iAUthL7Rbw7NloIAciyJiZIOT
TUu9MbmQ0otS6F8KfgdTGvnWTFk7Mbj2m9HFU8LH8qkY3/jC1t4ws5K6YMXYO4vRG9d5hcPdjFm8
/yM/lWl6mBzSzT/liSBPfY0n1+gTRaWVO/oLAAD//w==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213360</xdr:colOff>
      <xdr:row>3</xdr:row>
      <xdr:rowOff>129540</xdr:rowOff>
    </xdr:from>
    <xdr:to>
      <xdr:col>5</xdr:col>
      <xdr:colOff>342900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D9320-6048-48CA-B565-065B002E8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419100</xdr:colOff>
      <xdr:row>3</xdr:row>
      <xdr:rowOff>152400</xdr:rowOff>
    </xdr:from>
    <xdr:to>
      <xdr:col>11</xdr:col>
      <xdr:colOff>449580</xdr:colOff>
      <xdr:row>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5D34B6-ADC4-4E58-90F7-31A1704A8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480060</xdr:colOff>
      <xdr:row>5</xdr:row>
      <xdr:rowOff>53340</xdr:rowOff>
    </xdr:from>
    <xdr:to>
      <xdr:col>11</xdr:col>
      <xdr:colOff>91440</xdr:colOff>
      <xdr:row>7</xdr:row>
      <xdr:rowOff>137160</xdr:rowOff>
    </xdr:to>
    <xdr:sp macro="" textlink="Prep!G13">
      <xdr:nvSpPr>
        <xdr:cNvPr id="4" name="TextBox 3">
          <a:extLst>
            <a:ext uri="{FF2B5EF4-FFF2-40B4-BE49-F238E27FC236}">
              <a16:creationId xmlns:a16="http://schemas.microsoft.com/office/drawing/2014/main" id="{1FDB7398-CEB4-4411-AEA7-72439AD4B0F5}"/>
            </a:ext>
          </a:extLst>
        </xdr:cNvPr>
        <xdr:cNvSpPr txBox="1"/>
      </xdr:nvSpPr>
      <xdr:spPr>
        <a:xfrm>
          <a:off x="6957060" y="982980"/>
          <a:ext cx="830580" cy="4495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352D43-08C1-4F4B-8AC1-6A15DCCDC35D}" type="TxLink">
            <a:rPr lang="en-US" sz="2000" b="1" i="0" u="none" strike="noStrike">
              <a:solidFill>
                <a:schemeClr val="accent2"/>
              </a:solidFill>
              <a:latin typeface="Calibri"/>
              <a:cs typeface="Calibri"/>
            </a:rPr>
            <a:pPr/>
            <a:t>23%</a:t>
          </a:fld>
          <a:endParaRPr lang="en-US" sz="2000" b="1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411480</xdr:colOff>
      <xdr:row>9</xdr:row>
      <xdr:rowOff>30480</xdr:rowOff>
    </xdr:from>
    <xdr:to>
      <xdr:col>11</xdr:col>
      <xdr:colOff>457200</xdr:colOff>
      <xdr:row>16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46658C-CB8A-4BED-A81D-D7DE419DE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388620</xdr:colOff>
      <xdr:row>17</xdr:row>
      <xdr:rowOff>45720</xdr:rowOff>
    </xdr:from>
    <xdr:to>
      <xdr:col>11</xdr:col>
      <xdr:colOff>464820</xdr:colOff>
      <xdr:row>26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A9D196-903A-4D38-ADE8-E03415DF2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548640</xdr:colOff>
      <xdr:row>3</xdr:row>
      <xdr:rowOff>144780</xdr:rowOff>
    </xdr:from>
    <xdr:to>
      <xdr:col>21</xdr:col>
      <xdr:colOff>182880</xdr:colOff>
      <xdr:row>26</xdr:row>
      <xdr:rowOff>60960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5138952-FD39-4F33-B291-2B80C313D3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4840" y="708660"/>
              <a:ext cx="5730240" cy="4122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topLeftCell="A1893" workbookViewId="0">
      <selection activeCell="E2" sqref="E2"/>
    </sheetView>
  </sheetViews>
  <sheetFormatPr defaultRowHeight="14.4" x14ac:dyDescent="0.3"/>
  <cols>
    <col min="1" max="1" width="9.109375" customWidth="1"/>
    <col min="2" max="2" width="21.6640625" customWidth="1"/>
    <col min="3" max="3" width="18.6640625" customWidth="1"/>
    <col min="4" max="4" width="14.5546875" customWidth="1"/>
    <col min="5" max="5" width="10.6640625" customWidth="1"/>
    <col min="6" max="6" width="16.6640625" customWidth="1"/>
    <col min="7" max="18" width="9.109375" customWidth="1"/>
  </cols>
  <sheetData>
    <row r="1" spans="1:6" x14ac:dyDescent="0.3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3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3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3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3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3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3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3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3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3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3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3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3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3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3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3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3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3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3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3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3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3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3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3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3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3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3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3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3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3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3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3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3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3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3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3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3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3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3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3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3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3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3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3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3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3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3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3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3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3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3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3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3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3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3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3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3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3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3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3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3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3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3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3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3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3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3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3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3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3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3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3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3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3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3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3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3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3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3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3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3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3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3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3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3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3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3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3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3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3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3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3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3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3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3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3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3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3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3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3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3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3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3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3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3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3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3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3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3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3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3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3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3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3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3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3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3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3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3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3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3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3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3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3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3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3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3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3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3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3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3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3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3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3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3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3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3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3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3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3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3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3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3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3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3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3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3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3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3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3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3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3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3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3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3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3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3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3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3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3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3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3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3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3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3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3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3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3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3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3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3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3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3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3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3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3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3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3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3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3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3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3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3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3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3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3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3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3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3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3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3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3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3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3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3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3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3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3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3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3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3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3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3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3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3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3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3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3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3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3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3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3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3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3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3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3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3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3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3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3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3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3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3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3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3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3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3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3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3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3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3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3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3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3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3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3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3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3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3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3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3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3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3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3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3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3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3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3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3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3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3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3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3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3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3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3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3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3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3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3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3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3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3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3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3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3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3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3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3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3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3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3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3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3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3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3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3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3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3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3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3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3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3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3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3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3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3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3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3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3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3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3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3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3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3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3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3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3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3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3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3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3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3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3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3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3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3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3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3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3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3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3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3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3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3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3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3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3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3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3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3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3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3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3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3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3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3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3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3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3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3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3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3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3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3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3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3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3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3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3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3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3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3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3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3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3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3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3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3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3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3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3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3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3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3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3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3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3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3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3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3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3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3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3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3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3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3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3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3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3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3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3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3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3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3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3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3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3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3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3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3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3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3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3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3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3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3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3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3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3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3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3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3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3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3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3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3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3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3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3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3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3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3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3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3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3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3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3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3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3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3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3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3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3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3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3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3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3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3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3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3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3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3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3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3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3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3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3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3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3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3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3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3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3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3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3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3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3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3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3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3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3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3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3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3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3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3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3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3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3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3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3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3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3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3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3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3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3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3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3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3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3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3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3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3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3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3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3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3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3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3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3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3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3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3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3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3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3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3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3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3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3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3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3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3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3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3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3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3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3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3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3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3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3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3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3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3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3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3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3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3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3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3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3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3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3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3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3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3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3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3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3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3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3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3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3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3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3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3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3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3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3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3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3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3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3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3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3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3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3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3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3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3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3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3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3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3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3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3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3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3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3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3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3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3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3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3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3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3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3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3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3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3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3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3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3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3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3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3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3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3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3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3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3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3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3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3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3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3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3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3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3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3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3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3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3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3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3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3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3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3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3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3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3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3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3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3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3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3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3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3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3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3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3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3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3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3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3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3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3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3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3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3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3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3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3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3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3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3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3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3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3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3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3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3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3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3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3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3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3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3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3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3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3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3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3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3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3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3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3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3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3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3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3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3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3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3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3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3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3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3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3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3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3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3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3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3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3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3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3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3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3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3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3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3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3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3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3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3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3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3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3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3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3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3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3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3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3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3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3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3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3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3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3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3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3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3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3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3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3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3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3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3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3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3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3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3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3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3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3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3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3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3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3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3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3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3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3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3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3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3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3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3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3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3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3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3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3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3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3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3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3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3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3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3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3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3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3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3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3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3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3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3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3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3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3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3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3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3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3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3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3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3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3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3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3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3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3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3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3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3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3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3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3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3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3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3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3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3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3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3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3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3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3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3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3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3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3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3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3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3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3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3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3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3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3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3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3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3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3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3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3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3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3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3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3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3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3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3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3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3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3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3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3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3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3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3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3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3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3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3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3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3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3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3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3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3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3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3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3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3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3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3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3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3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3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3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3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3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3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3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3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3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3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3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3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3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3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3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3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3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3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3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3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3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3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3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3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3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3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3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3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3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3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3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3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3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3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3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3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3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3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3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3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3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3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3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3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3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3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3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3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3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3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3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3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3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3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3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3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3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3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3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3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3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3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3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3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3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3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3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3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3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3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3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3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3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3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3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3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3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3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3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3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3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3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3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3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3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3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3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3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3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3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3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3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3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3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3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3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3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3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3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3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3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3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3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3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3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3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3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3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3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3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3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3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3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3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3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3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3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3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3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3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3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3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3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3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3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3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3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3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3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3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3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3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3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3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3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3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3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3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3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3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3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3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3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3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3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3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3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3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3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3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3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3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3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3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3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3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3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3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3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3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3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3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3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3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3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3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3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3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3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3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3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3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3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3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3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3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3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3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3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3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3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3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3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3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3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3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3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3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3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3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3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3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3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3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3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3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3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3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3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3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3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3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3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3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3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3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3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3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3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3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3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3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3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3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3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3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3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3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3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3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3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3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3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3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3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3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3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3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3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3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3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3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3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3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3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3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3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3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3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3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3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3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3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3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3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3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3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3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3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3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3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3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3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3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3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3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3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3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3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3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3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3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3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3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3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3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3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3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3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3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3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3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3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3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3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3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3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3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3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3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3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3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3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3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3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3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3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3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3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3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3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3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3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3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3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3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3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3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3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3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3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3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3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3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3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3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3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3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3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3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3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3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3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3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3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3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3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3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3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3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3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3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3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3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3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3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3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3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3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3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3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3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3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3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3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3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3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3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3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3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3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3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3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3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3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3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3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3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3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3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3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3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3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3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3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3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3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3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3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3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3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3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3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3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3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3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3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3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3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3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3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3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3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3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3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3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3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3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3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3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3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3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3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3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3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3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3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3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3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3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3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3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3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3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3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3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3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3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3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3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3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3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3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3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3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3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3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3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3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3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3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3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3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3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3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3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3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3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3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3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3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3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3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3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3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3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3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3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3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3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3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3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3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3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3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3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3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3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3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3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3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3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3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3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3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3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3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3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3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3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3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3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3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3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3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3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3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3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3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3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3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3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3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3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3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3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3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3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3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3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3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3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3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3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3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3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3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3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3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3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3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3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3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3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3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3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3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3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3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3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3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3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3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3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3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3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3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3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3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3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3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3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3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3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3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3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3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3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3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3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3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3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3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3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3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3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3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3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3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3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3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3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3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3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3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3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3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3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3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3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3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3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3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3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3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3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3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3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3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3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3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3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3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3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3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3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3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3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3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3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3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3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3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3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3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3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3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3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3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3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3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3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3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3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3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3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3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3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3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3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3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3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3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3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3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3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3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3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3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3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3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3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3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3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3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3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3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3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3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3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3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3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3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3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3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3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3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3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3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3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3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3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3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3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3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3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3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3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3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3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3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3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3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3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3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3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3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3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3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3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3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3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3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3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3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3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3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3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3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3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3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3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3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3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3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3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3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3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3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3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3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3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3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3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3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3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3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3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3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3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3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3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3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3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3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3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3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3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3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3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3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3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3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3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3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3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3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3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3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3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3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3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3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3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3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3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3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3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3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3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3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3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3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3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3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3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3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3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3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3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3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3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3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3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3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3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3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3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3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3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3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3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3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3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3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3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3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3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3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3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3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3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3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3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3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3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3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3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3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3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3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3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3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3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3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3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3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3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3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3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3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3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3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3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3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3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3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3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3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3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3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3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3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3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3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3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3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3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3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3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3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3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3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3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3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3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3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3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3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3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3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3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3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3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3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3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3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3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3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3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3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3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3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3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3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3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3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3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3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3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3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3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3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3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3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3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3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3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3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3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3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3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3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3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3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3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3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3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3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3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3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3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3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3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3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3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3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3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3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3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3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3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3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3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3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3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3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3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3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3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3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3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3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3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3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3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3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3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3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3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3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3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3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3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3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3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3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3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3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3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3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3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3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3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3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3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3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3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3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3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3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3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3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3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3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3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3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3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3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3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3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3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3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3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3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3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3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3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3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3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3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3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3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3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3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3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3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3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3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3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3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3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3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3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3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3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3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3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3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3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3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3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3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3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3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3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3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3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3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3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3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3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3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3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3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3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3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3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3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3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3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3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3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3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3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3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3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3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3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3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3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3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3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3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3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3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3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3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3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3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3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3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3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3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3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3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3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3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3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3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3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3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3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3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3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3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3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3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3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3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3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3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3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3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3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3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3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3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3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3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3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3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3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3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3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3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3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3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3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3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3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3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3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3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3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3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3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3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3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3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3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3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3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3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3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3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3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3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3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3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3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3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3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3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3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3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3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3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3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3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3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3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3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3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3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3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3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3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3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3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3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3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3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3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3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3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3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3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3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3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3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3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3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3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3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3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3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3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3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3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3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3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3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3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3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3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3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3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3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3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3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3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3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3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3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3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3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3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3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3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3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3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3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3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3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3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3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3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3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3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3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3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3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3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3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3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3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3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3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3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3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3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3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3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3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3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3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3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3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3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3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3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3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3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3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3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3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3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3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3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3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3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3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3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3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3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3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3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3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3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3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3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3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3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3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3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3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3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3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3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3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3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3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3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3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948164EF-B902-4A6C-8E3C-A935061C5153}" state="hidden">
      <selection activeCell="F150" sqref="F150"/>
      <pageMargins left="0.7" right="0.7" top="0.75" bottom="0.75" header="0.3" footer="0.3"/>
      <pageSetup orientation="portrait" r:id="rId1"/>
    </customSheetView>
    <customSheetView guid="{A1F01C08-243B-48FC-94A8-F102AEB1706D}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68E1-69C9-492B-BD47-FC828ADB197A}">
  <dimension ref="A1:K49"/>
  <sheetViews>
    <sheetView workbookViewId="0">
      <selection activeCell="B9" sqref="B9"/>
    </sheetView>
  </sheetViews>
  <sheetFormatPr defaultRowHeight="14.4" x14ac:dyDescent="0.3"/>
  <cols>
    <col min="2" max="2" width="20.21875" bestFit="1" customWidth="1"/>
    <col min="3" max="3" width="16" bestFit="1" customWidth="1"/>
    <col min="4" max="4" width="12.88671875" bestFit="1" customWidth="1"/>
    <col min="5" max="5" width="20.21875" bestFit="1" customWidth="1"/>
    <col min="6" max="6" width="10.88671875" bestFit="1" customWidth="1"/>
    <col min="7" max="7" width="16" bestFit="1" customWidth="1"/>
    <col min="8" max="8" width="15" bestFit="1" customWidth="1"/>
    <col min="9" max="9" width="16.77734375" bestFit="1" customWidth="1"/>
    <col min="10" max="10" width="10.109375" bestFit="1" customWidth="1"/>
    <col min="11" max="11" width="16" bestFit="1" customWidth="1"/>
  </cols>
  <sheetData>
    <row r="1" spans="1:11" x14ac:dyDescent="0.3">
      <c r="A1" s="6" t="s">
        <v>50</v>
      </c>
      <c r="B1" s="7" t="s">
        <v>62</v>
      </c>
      <c r="C1" s="8" t="s">
        <v>63</v>
      </c>
      <c r="D1" s="21" t="s">
        <v>69</v>
      </c>
      <c r="E1" s="15" t="s">
        <v>64</v>
      </c>
      <c r="F1" s="7" t="s">
        <v>62</v>
      </c>
      <c r="G1" s="8" t="s">
        <v>63</v>
      </c>
      <c r="I1" s="15" t="s">
        <v>65</v>
      </c>
      <c r="J1" s="7" t="s">
        <v>62</v>
      </c>
      <c r="K1" s="8" t="s">
        <v>63</v>
      </c>
    </row>
    <row r="2" spans="1:11" x14ac:dyDescent="0.3">
      <c r="A2" s="9">
        <v>2017</v>
      </c>
      <c r="B2" s="10">
        <f>SUMIFS(Data!$E$2:$E$1919,Data!$A$2:$A$1919,A2,Data!$B$2:$B$1919,$B$9)</f>
        <v>27033069</v>
      </c>
      <c r="C2" s="11">
        <f>AVERAGEIFS(Data!$F$2:$F$1919,Data!$A$2:$A$1919,A2,Data!$B$2:$B$1919,$B$9)</f>
        <v>43391.395833333336</v>
      </c>
      <c r="D2" s="2">
        <f>IF(E2=$B$9,G2,0)</f>
        <v>0</v>
      </c>
      <c r="E2" s="9" t="s">
        <v>53</v>
      </c>
      <c r="F2" s="10">
        <f>SUMIFS(Data!$E$2:$E$1919,Data!$B$2:$B$1919,E2,Data!$A$2:$A$1919,$B$7)</f>
        <v>2677815</v>
      </c>
      <c r="G2" s="11">
        <f>AVERAGEIFS(Data!$F$2:$F$1919,Data!$B$2:$B$1919,E2,Data!$A$2:$A$1919,$B$7)</f>
        <v>93586.333333333328</v>
      </c>
      <c r="I2" s="9" t="s">
        <v>1</v>
      </c>
      <c r="J2" s="10">
        <f>SUMIFS(Data!$E$2:$E$1919,Data!$C$2:$C$1919,I2,Data!$A$2:$A$1919,$B$7,Data!$B$2:$B$1919,$B$9)</f>
        <v>372620</v>
      </c>
      <c r="K2" s="11">
        <f>AVERAGEIFS(Data!$F$2:$F$1919,Data!$C$2:$C$1919,I2,Data!$A$2:$A$1919,$B$7,Data!$B$2:$B$1919,$B$9)</f>
        <v>45853</v>
      </c>
    </row>
    <row r="3" spans="1:11" x14ac:dyDescent="0.3">
      <c r="A3" s="9">
        <v>2018</v>
      </c>
      <c r="B3" s="10">
        <f>SUMIFS(Data!$E$2:$E$1919,Data!$A$2:$A$1919,A3,Data!$B$2:$B$1919,$B$9)</f>
        <v>27186117</v>
      </c>
      <c r="C3" s="11">
        <f>AVERAGEIFS(Data!$F$2:$F$1919,Data!$A$2:$A$1919,A3,Data!$B$2:$B$1919,$B$9)</f>
        <v>44830.666666666664</v>
      </c>
      <c r="D3" s="2">
        <f t="shared" ref="D3:D11" si="0">IF(E3=$B$9,G3,0)</f>
        <v>0</v>
      </c>
      <c r="E3" s="9" t="s">
        <v>56</v>
      </c>
      <c r="F3" s="10">
        <f>SUMIFS(Data!$E$2:$E$1919,Data!$B$2:$B$1919,E3,Data!$A$2:$A$1919,$B$7)</f>
        <v>8142043</v>
      </c>
      <c r="G3" s="11">
        <f>AVERAGEIFS(Data!$F$2:$F$1919,Data!$B$2:$B$1919,E3,Data!$A$2:$A$1919,$B$7)</f>
        <v>90040.666666666672</v>
      </c>
      <c r="I3" s="9" t="s">
        <v>2</v>
      </c>
      <c r="J3" s="10">
        <f>SUMIFS(Data!$E$2:$E$1919,Data!$C$2:$C$1919,I3,Data!$A$2:$A$1919,$B$7,Data!$B$2:$B$1919,$B$9)</f>
        <v>546143</v>
      </c>
      <c r="K3" s="11">
        <f>AVERAGEIFS(Data!$F$2:$F$1919,Data!$C$2:$C$1919,I3,Data!$A$2:$A$1919,$B$7,Data!$B$2:$B$1919,$B$9)</f>
        <v>51498</v>
      </c>
    </row>
    <row r="4" spans="1:11" x14ac:dyDescent="0.3">
      <c r="A4" s="9">
        <v>2019</v>
      </c>
      <c r="B4" s="10">
        <f>SUMIFS(Data!$E$2:$E$1919,Data!$A$2:$A$1919,A4,Data!$B$2:$B$1919,$B$9)</f>
        <v>27304411</v>
      </c>
      <c r="C4" s="11">
        <f>AVERAGEIFS(Data!$F$2:$F$1919,Data!$A$2:$A$1919,A4,Data!$B$2:$B$1919,$B$9)</f>
        <v>46352.958333333336</v>
      </c>
      <c r="D4" s="2">
        <f t="shared" si="0"/>
        <v>0</v>
      </c>
      <c r="E4" s="9" t="s">
        <v>57</v>
      </c>
      <c r="F4" s="10">
        <f>SUMIFS(Data!$E$2:$E$1919,Data!$B$2:$B$1919,E4,Data!$A$2:$A$1919,$B$7)</f>
        <v>20065896</v>
      </c>
      <c r="G4" s="11">
        <f>AVERAGEIFS(Data!$F$2:$F$1919,Data!$B$2:$B$1919,E4,Data!$A$2:$A$1919,$B$7)</f>
        <v>74713.0625</v>
      </c>
      <c r="I4" s="9" t="s">
        <v>3</v>
      </c>
      <c r="J4" s="10">
        <f>SUMIFS(Data!$E$2:$E$1919,Data!$C$2:$C$1919,I4,Data!$A$2:$A$1919,$B$7,Data!$B$2:$B$1919,$B$9)</f>
        <v>244074</v>
      </c>
      <c r="K4" s="11">
        <f>AVERAGEIFS(Data!$F$2:$F$1919,Data!$C$2:$C$1919,I4,Data!$A$2:$A$1919,$B$7,Data!$B$2:$B$1919,$B$9)</f>
        <v>45673</v>
      </c>
    </row>
    <row r="5" spans="1:11" x14ac:dyDescent="0.3">
      <c r="A5" s="12">
        <v>2020</v>
      </c>
      <c r="B5" s="13">
        <f>SUMIFS(Data!$E$2:$E$1919,Data!$A$2:$A$1919,A5,Data!$B$2:$B$1919,$B$9)</f>
        <v>26277342</v>
      </c>
      <c r="C5" s="14">
        <f>AVERAGEIFS(Data!$F$2:$F$1919,Data!$A$2:$A$1919,A5,Data!$B$2:$B$1919,$B$9)</f>
        <v>49366.8125</v>
      </c>
      <c r="D5" s="2">
        <f t="shared" si="0"/>
        <v>0</v>
      </c>
      <c r="E5" s="9" t="s">
        <v>52</v>
      </c>
      <c r="F5" s="10">
        <f>SUMIFS(Data!$E$2:$E$1919,Data!$B$2:$B$1919,E5,Data!$A$2:$A$1919,$B$7)</f>
        <v>12058694</v>
      </c>
      <c r="G5" s="11">
        <f>AVERAGEIFS(Data!$F$2:$F$1919,Data!$B$2:$B$1919,E5,Data!$A$2:$A$1919,$B$7)</f>
        <v>68427.875</v>
      </c>
      <c r="I5" s="9" t="s">
        <v>4</v>
      </c>
      <c r="J5" s="10">
        <f>SUMIFS(Data!$E$2:$E$1919,Data!$C$2:$C$1919,I5,Data!$A$2:$A$1919,$B$7,Data!$B$2:$B$1919,$B$9)</f>
        <v>2888684</v>
      </c>
      <c r="K5" s="11">
        <f>AVERAGEIFS(Data!$F$2:$F$1919,Data!$C$2:$C$1919,I5,Data!$A$2:$A$1919,$B$7,Data!$B$2:$B$1919,$B$9)</f>
        <v>58800</v>
      </c>
    </row>
    <row r="6" spans="1:11" x14ac:dyDescent="0.3">
      <c r="D6" s="2">
        <f t="shared" si="0"/>
        <v>0</v>
      </c>
      <c r="E6" s="9" t="s">
        <v>51</v>
      </c>
      <c r="F6" s="10">
        <f>SUMIFS(Data!$E$2:$E$1919,Data!$B$2:$B$1919,E6,Data!$A$2:$A$1919,$B$7)</f>
        <v>7136444</v>
      </c>
      <c r="G6" s="11">
        <f>AVERAGEIFS(Data!$F$2:$F$1919,Data!$B$2:$B$1919,E6,Data!$A$2:$A$1919,$B$7)</f>
        <v>63896.895833333336</v>
      </c>
      <c r="I6" s="9" t="s">
        <v>5</v>
      </c>
      <c r="J6" s="10">
        <f>SUMIFS(Data!$E$2:$E$1919,Data!$C$2:$C$1919,I6,Data!$A$2:$A$1919,$B$7,Data!$B$2:$B$1919,$B$9)</f>
        <v>465887</v>
      </c>
      <c r="K6" s="11">
        <f>AVERAGEIFS(Data!$F$2:$F$1919,Data!$C$2:$C$1919,I6,Data!$A$2:$A$1919,$B$7,Data!$B$2:$B$1919,$B$9)</f>
        <v>55719</v>
      </c>
    </row>
    <row r="7" spans="1:11" x14ac:dyDescent="0.3">
      <c r="A7" s="4" t="s">
        <v>66</v>
      </c>
      <c r="B7" s="5">
        <v>2020</v>
      </c>
      <c r="D7" s="2">
        <f t="shared" si="0"/>
        <v>0</v>
      </c>
      <c r="E7" s="9" t="s">
        <v>55</v>
      </c>
      <c r="F7" s="10">
        <f>SUMIFS(Data!$E$2:$E$1919,Data!$B$2:$B$1919,E7,Data!$A$2:$A$1919,$B$7)</f>
        <v>1762873</v>
      </c>
      <c r="G7" s="11">
        <f>AVERAGEIFS(Data!$F$2:$F$1919,Data!$B$2:$B$1919,E7,Data!$A$2:$A$1919,$B$7)</f>
        <v>55605.9375</v>
      </c>
      <c r="I7" s="9" t="s">
        <v>6</v>
      </c>
      <c r="J7" s="10">
        <f>SUMIFS(Data!$E$2:$E$1919,Data!$C$2:$C$1919,I7,Data!$A$2:$A$1919,$B$7,Data!$B$2:$B$1919,$B$9)</f>
        <v>276491</v>
      </c>
      <c r="K7" s="11">
        <f>AVERAGEIFS(Data!$F$2:$F$1919,Data!$C$2:$C$1919,I7,Data!$A$2:$A$1919,$B$7,Data!$B$2:$B$1919,$B$9)</f>
        <v>55859</v>
      </c>
    </row>
    <row r="8" spans="1:11" x14ac:dyDescent="0.3">
      <c r="D8" s="2">
        <f t="shared" si="0"/>
        <v>0</v>
      </c>
      <c r="E8" s="9" t="s">
        <v>58</v>
      </c>
      <c r="F8" s="10">
        <f>SUMIFS(Data!$E$2:$E$1919,Data!$B$2:$B$1919,E8,Data!$A$2:$A$1919,$B$7)</f>
        <v>22035033</v>
      </c>
      <c r="G8" s="11">
        <f>AVERAGEIFS(Data!$F$2:$F$1919,Data!$B$2:$B$1919,E8,Data!$A$2:$A$1919,$B$7)</f>
        <v>53607.208333333336</v>
      </c>
      <c r="I8" s="9" t="s">
        <v>7</v>
      </c>
      <c r="J8" s="10">
        <f>SUMIFS(Data!$E$2:$E$1919,Data!$C$2:$C$1919,I8,Data!$A$2:$A$1919,$B$7,Data!$B$2:$B$1919,$B$9)</f>
        <v>76267</v>
      </c>
      <c r="K8" s="11">
        <f>AVERAGEIFS(Data!$F$2:$F$1919,Data!$C$2:$C$1919,I8,Data!$A$2:$A$1919,$B$7,Data!$B$2:$B$1919,$B$9)</f>
        <v>45667</v>
      </c>
    </row>
    <row r="9" spans="1:11" x14ac:dyDescent="0.3">
      <c r="A9" s="4" t="s">
        <v>49</v>
      </c>
      <c r="B9" s="5" t="str">
        <f>Dashboard!C3</f>
        <v>Trade &amp; Transportation</v>
      </c>
      <c r="D9" s="2">
        <f t="shared" si="0"/>
        <v>49366.8125</v>
      </c>
      <c r="E9" s="9" t="s">
        <v>54</v>
      </c>
      <c r="F9" s="10">
        <f>SUMIFS(Data!$E$2:$E$1919,Data!$B$2:$B$1919,E9,Data!$A$2:$A$1919,$B$7)</f>
        <v>26277342</v>
      </c>
      <c r="G9" s="11">
        <f>AVERAGEIFS(Data!$F$2:$F$1919,Data!$B$2:$B$1919,E9,Data!$A$2:$A$1919,$B$7)</f>
        <v>49366.8125</v>
      </c>
      <c r="I9" s="9" t="s">
        <v>8</v>
      </c>
      <c r="J9" s="10">
        <f>SUMIFS(Data!$E$2:$E$1919,Data!$C$2:$C$1919,I9,Data!$A$2:$A$1919,$B$7,Data!$B$2:$B$1919,$B$9)</f>
        <v>1739110</v>
      </c>
      <c r="K9" s="11">
        <f>AVERAGEIFS(Data!$F$2:$F$1919,Data!$C$2:$C$1919,I9,Data!$A$2:$A$1919,$B$7,Data!$B$2:$B$1919,$B$9)</f>
        <v>49391</v>
      </c>
    </row>
    <row r="10" spans="1:11" x14ac:dyDescent="0.3">
      <c r="D10" s="2">
        <f t="shared" si="0"/>
        <v>0</v>
      </c>
      <c r="E10" s="9" t="s">
        <v>60</v>
      </c>
      <c r="F10" s="10">
        <f>SUMIFS(Data!$E$2:$E$1919,Data!$B$2:$B$1919,E10,Data!$A$2:$A$1919,$B$7)</f>
        <v>3843699</v>
      </c>
      <c r="G10" s="11">
        <f>AVERAGEIFS(Data!$F$2:$F$1919,Data!$B$2:$B$1919,E10,Data!$A$2:$A$1919,$B$7)</f>
        <v>40790.1875</v>
      </c>
      <c r="I10" s="9" t="s">
        <v>9</v>
      </c>
      <c r="J10" s="10">
        <f>SUMIFS(Data!$E$2:$E$1919,Data!$C$2:$C$1919,I10,Data!$A$2:$A$1919,$B$7,Data!$B$2:$B$1919,$B$9)</f>
        <v>913981</v>
      </c>
      <c r="K10" s="11">
        <f>AVERAGEIFS(Data!$F$2:$F$1919,Data!$C$2:$C$1919,I10,Data!$A$2:$A$1919,$B$7,Data!$B$2:$B$1919,$B$9)</f>
        <v>52104</v>
      </c>
    </row>
    <row r="11" spans="1:11" x14ac:dyDescent="0.3">
      <c r="D11" s="2">
        <f t="shared" si="0"/>
        <v>0</v>
      </c>
      <c r="E11" s="12" t="s">
        <v>59</v>
      </c>
      <c r="F11" s="13">
        <f>SUMIFS(Data!$E$2:$E$1919,Data!$B$2:$B$1919,E11,Data!$A$2:$A$1919,$B$7)</f>
        <v>12649500</v>
      </c>
      <c r="G11" s="14">
        <f>AVERAGEIFS(Data!$F$2:$F$1919,Data!$B$2:$B$1919,E11,Data!$A$2:$A$1919,$B$7)</f>
        <v>23286.416666666668</v>
      </c>
      <c r="I11" s="9" t="s">
        <v>10</v>
      </c>
      <c r="J11" s="10">
        <f>SUMIFS(Data!$E$2:$E$1919,Data!$C$2:$C$1919,I11,Data!$A$2:$A$1919,$B$7,Data!$B$2:$B$1919,$B$9)</f>
        <v>143264</v>
      </c>
      <c r="K11" s="11">
        <f>AVERAGEIFS(Data!$F$2:$F$1919,Data!$C$2:$C$1919,I11,Data!$A$2:$A$1919,$B$7,Data!$B$2:$B$1919,$B$9)</f>
        <v>44610</v>
      </c>
    </row>
    <row r="12" spans="1:11" x14ac:dyDescent="0.3">
      <c r="E12" s="16"/>
      <c r="F12" s="20"/>
      <c r="G12" s="17"/>
      <c r="I12" s="9" t="s">
        <v>11</v>
      </c>
      <c r="J12" s="10">
        <f>SUMIFS(Data!$E$2:$E$1919,Data!$C$2:$C$1919,I12,Data!$A$2:$A$1919,$B$7,Data!$B$2:$B$1919,$B$9)</f>
        <v>1140749</v>
      </c>
      <c r="K12" s="11">
        <f>AVERAGEIFS(Data!$F$2:$F$1919,Data!$C$2:$C$1919,I12,Data!$A$2:$A$1919,$B$7,Data!$B$2:$B$1919,$B$9)</f>
        <v>55780</v>
      </c>
    </row>
    <row r="13" spans="1:11" x14ac:dyDescent="0.3">
      <c r="E13" s="9" t="str">
        <f>B9</f>
        <v>Trade &amp; Transportation</v>
      </c>
      <c r="F13" s="10">
        <f>VLOOKUP($B$9,$E$2:$F$11,2,FALSE)</f>
        <v>26277342</v>
      </c>
      <c r="G13" s="18">
        <f>F13/SUM(F13:F14)</f>
        <v>0.22526781741986554</v>
      </c>
      <c r="I13" s="9" t="s">
        <v>12</v>
      </c>
      <c r="J13" s="10">
        <f>SUMIFS(Data!$E$2:$E$1919,Data!$C$2:$C$1919,I13,Data!$A$2:$A$1919,$B$7,Data!$B$2:$B$1919,$B$9)</f>
        <v>583686</v>
      </c>
      <c r="K13" s="11">
        <f>AVERAGEIFS(Data!$F$2:$F$1919,Data!$C$2:$C$1919,I13,Data!$A$2:$A$1919,$B$7,Data!$B$2:$B$1919,$B$9)</f>
        <v>45931</v>
      </c>
    </row>
    <row r="14" spans="1:11" x14ac:dyDescent="0.3">
      <c r="E14" s="12" t="s">
        <v>67</v>
      </c>
      <c r="F14" s="13">
        <f>SUM(F2:F11)-F13</f>
        <v>90371997</v>
      </c>
      <c r="G14" s="19">
        <f>100%-G13</f>
        <v>0.77473218258013443</v>
      </c>
      <c r="I14" s="9" t="s">
        <v>13</v>
      </c>
      <c r="J14" s="10">
        <f>SUMIFS(Data!$E$2:$E$1919,Data!$C$2:$C$1919,I14,Data!$A$2:$A$1919,$B$7,Data!$B$2:$B$1919,$B$9)</f>
        <v>298376</v>
      </c>
      <c r="K14" s="11">
        <f>AVERAGEIFS(Data!$F$2:$F$1919,Data!$C$2:$C$1919,I14,Data!$A$2:$A$1919,$B$7,Data!$B$2:$B$1919,$B$9)</f>
        <v>44146</v>
      </c>
    </row>
    <row r="15" spans="1:11" x14ac:dyDescent="0.3">
      <c r="I15" s="9" t="s">
        <v>14</v>
      </c>
      <c r="J15" s="10">
        <f>SUMIFS(Data!$E$2:$E$1919,Data!$C$2:$C$1919,I15,Data!$A$2:$A$1919,$B$7,Data!$B$2:$B$1919,$B$9)</f>
        <v>255575</v>
      </c>
      <c r="K15" s="11">
        <f>AVERAGEIFS(Data!$F$2:$F$1919,Data!$C$2:$C$1919,I15,Data!$A$2:$A$1919,$B$7,Data!$B$2:$B$1919,$B$9)</f>
        <v>46012</v>
      </c>
    </row>
    <row r="16" spans="1:11" x14ac:dyDescent="0.3">
      <c r="I16" s="9" t="s">
        <v>15</v>
      </c>
      <c r="J16" s="10">
        <f>SUMIFS(Data!$E$2:$E$1919,Data!$C$2:$C$1919,I16,Data!$A$2:$A$1919,$B$7,Data!$B$2:$B$1919,$B$9)</f>
        <v>393361</v>
      </c>
      <c r="K16" s="11">
        <f>AVERAGEIFS(Data!$F$2:$F$1919,Data!$C$2:$C$1919,I16,Data!$A$2:$A$1919,$B$7,Data!$B$2:$B$1919,$B$9)</f>
        <v>46839</v>
      </c>
    </row>
    <row r="17" spans="9:11" x14ac:dyDescent="0.3">
      <c r="I17" s="9" t="s">
        <v>16</v>
      </c>
      <c r="J17" s="10">
        <f>SUMIFS(Data!$E$2:$E$1919,Data!$C$2:$C$1919,I17,Data!$A$2:$A$1919,$B$7,Data!$B$2:$B$1919,$B$9)</f>
        <v>358336</v>
      </c>
      <c r="K17" s="11">
        <f>AVERAGEIFS(Data!$F$2:$F$1919,Data!$C$2:$C$1919,I17,Data!$A$2:$A$1919,$B$7,Data!$B$2:$B$1919,$B$9)</f>
        <v>46029</v>
      </c>
    </row>
    <row r="18" spans="9:11" x14ac:dyDescent="0.3">
      <c r="I18" s="9" t="s">
        <v>17</v>
      </c>
      <c r="J18" s="10">
        <f>SUMIFS(Data!$E$2:$E$1919,Data!$C$2:$C$1919,I18,Data!$A$2:$A$1919,$B$7,Data!$B$2:$B$1919,$B$9)</f>
        <v>111483</v>
      </c>
      <c r="K18" s="11">
        <f>AVERAGEIFS(Data!$F$2:$F$1919,Data!$C$2:$C$1919,I18,Data!$A$2:$A$1919,$B$7,Data!$B$2:$B$1919,$B$9)</f>
        <v>43084</v>
      </c>
    </row>
    <row r="19" spans="9:11" x14ac:dyDescent="0.3">
      <c r="I19" s="9" t="s">
        <v>18</v>
      </c>
      <c r="J19" s="10">
        <f>SUMIFS(Data!$E$2:$E$1919,Data!$C$2:$C$1919,I19,Data!$A$2:$A$1919,$B$7,Data!$B$2:$B$1919,$B$9)</f>
        <v>441680</v>
      </c>
      <c r="K19" s="11">
        <f>AVERAGEIFS(Data!$F$2:$F$1919,Data!$C$2:$C$1919,I19,Data!$A$2:$A$1919,$B$7,Data!$B$2:$B$1919,$B$9)</f>
        <v>50800</v>
      </c>
    </row>
    <row r="20" spans="9:11" x14ac:dyDescent="0.3">
      <c r="I20" s="9" t="s">
        <v>19</v>
      </c>
      <c r="J20" s="10">
        <f>SUMIFS(Data!$E$2:$E$1919,Data!$C$2:$C$1919,I20,Data!$A$2:$A$1919,$B$7,Data!$B$2:$B$1919,$B$9)</f>
        <v>526726</v>
      </c>
      <c r="K20" s="11">
        <f>AVERAGEIFS(Data!$F$2:$F$1919,Data!$C$2:$C$1919,I20,Data!$A$2:$A$1919,$B$7,Data!$B$2:$B$1919,$B$9)</f>
        <v>61082</v>
      </c>
    </row>
    <row r="21" spans="9:11" x14ac:dyDescent="0.3">
      <c r="I21" s="9" t="s">
        <v>20</v>
      </c>
      <c r="J21" s="10">
        <f>SUMIFS(Data!$E$2:$E$1919,Data!$C$2:$C$1919,I21,Data!$A$2:$A$1919,$B$7,Data!$B$2:$B$1919,$B$9)</f>
        <v>745824</v>
      </c>
      <c r="K21" s="11">
        <f>AVERAGEIFS(Data!$F$2:$F$1919,Data!$C$2:$C$1919,I21,Data!$A$2:$A$1919,$B$7,Data!$B$2:$B$1919,$B$9)</f>
        <v>51869</v>
      </c>
    </row>
    <row r="22" spans="9:11" x14ac:dyDescent="0.3">
      <c r="I22" s="9" t="s">
        <v>21</v>
      </c>
      <c r="J22" s="10">
        <f>SUMIFS(Data!$E$2:$E$1919,Data!$C$2:$C$1919,I22,Data!$A$2:$A$1919,$B$7,Data!$B$2:$B$1919,$B$9)</f>
        <v>499190</v>
      </c>
      <c r="K22" s="11">
        <f>AVERAGEIFS(Data!$F$2:$F$1919,Data!$C$2:$C$1919,I22,Data!$A$2:$A$1919,$B$7,Data!$B$2:$B$1919,$B$9)</f>
        <v>53843</v>
      </c>
    </row>
    <row r="23" spans="9:11" x14ac:dyDescent="0.3">
      <c r="I23" s="9" t="s">
        <v>22</v>
      </c>
      <c r="J23" s="10">
        <f>SUMIFS(Data!$E$2:$E$1919,Data!$C$2:$C$1919,I23,Data!$A$2:$A$1919,$B$7,Data!$B$2:$B$1919,$B$9)</f>
        <v>226629</v>
      </c>
      <c r="K23" s="11">
        <f>AVERAGEIFS(Data!$F$2:$F$1919,Data!$C$2:$C$1919,I23,Data!$A$2:$A$1919,$B$7,Data!$B$2:$B$1919,$B$9)</f>
        <v>40176</v>
      </c>
    </row>
    <row r="24" spans="9:11" x14ac:dyDescent="0.3">
      <c r="I24" s="9" t="s">
        <v>23</v>
      </c>
      <c r="J24" s="10">
        <f>SUMIFS(Data!$E$2:$E$1919,Data!$C$2:$C$1919,I24,Data!$A$2:$A$1919,$B$7,Data!$B$2:$B$1919,$B$9)</f>
        <v>519916</v>
      </c>
      <c r="K24" s="11">
        <f>AVERAGEIFS(Data!$F$2:$F$1919,Data!$C$2:$C$1919,I24,Data!$A$2:$A$1919,$B$7,Data!$B$2:$B$1919,$B$9)</f>
        <v>46520</v>
      </c>
    </row>
    <row r="25" spans="9:11" x14ac:dyDescent="0.3">
      <c r="I25" s="9" t="s">
        <v>24</v>
      </c>
      <c r="J25" s="10">
        <f>SUMIFS(Data!$E$2:$E$1919,Data!$C$2:$C$1919,I25,Data!$A$2:$A$1919,$B$7,Data!$B$2:$B$1919,$B$9)</f>
        <v>89315</v>
      </c>
      <c r="K25" s="11">
        <f>AVERAGEIFS(Data!$F$2:$F$1919,Data!$C$2:$C$1919,I25,Data!$A$2:$A$1919,$B$7,Data!$B$2:$B$1919,$B$9)</f>
        <v>43996</v>
      </c>
    </row>
    <row r="26" spans="9:11" x14ac:dyDescent="0.3">
      <c r="I26" s="9" t="s">
        <v>25</v>
      </c>
      <c r="J26" s="10">
        <f>SUMIFS(Data!$E$2:$E$1919,Data!$C$2:$C$1919,I26,Data!$A$2:$A$1919,$B$7,Data!$B$2:$B$1919,$B$9)</f>
        <v>182745</v>
      </c>
      <c r="K26" s="11">
        <f>AVERAGEIFS(Data!$F$2:$F$1919,Data!$C$2:$C$1919,I26,Data!$A$2:$A$1919,$B$7,Data!$B$2:$B$1919,$B$9)</f>
        <v>44095</v>
      </c>
    </row>
    <row r="27" spans="9:11" x14ac:dyDescent="0.3">
      <c r="I27" s="9" t="s">
        <v>26</v>
      </c>
      <c r="J27" s="10">
        <f>SUMIFS(Data!$E$2:$E$1919,Data!$C$2:$C$1919,I27,Data!$A$2:$A$1919,$B$7,Data!$B$2:$B$1919,$B$9)</f>
        <v>252623</v>
      </c>
      <c r="K27" s="11">
        <f>AVERAGEIFS(Data!$F$2:$F$1919,Data!$C$2:$C$1919,I27,Data!$A$2:$A$1919,$B$7,Data!$B$2:$B$1919,$B$9)</f>
        <v>48334</v>
      </c>
    </row>
    <row r="28" spans="9:11" x14ac:dyDescent="0.3">
      <c r="I28" s="9" t="s">
        <v>27</v>
      </c>
      <c r="J28" s="10">
        <f>SUMIFS(Data!$E$2:$E$1919,Data!$C$2:$C$1919,I28,Data!$A$2:$A$1919,$B$7,Data!$B$2:$B$1919,$B$9)</f>
        <v>133196</v>
      </c>
      <c r="K28" s="11">
        <f>AVERAGEIFS(Data!$F$2:$F$1919,Data!$C$2:$C$1919,I28,Data!$A$2:$A$1919,$B$7,Data!$B$2:$B$1919,$B$9)</f>
        <v>54425</v>
      </c>
    </row>
    <row r="29" spans="9:11" x14ac:dyDescent="0.3">
      <c r="I29" s="9" t="s">
        <v>28</v>
      </c>
      <c r="J29" s="10">
        <f>SUMIFS(Data!$E$2:$E$1919,Data!$C$2:$C$1919,I29,Data!$A$2:$A$1919,$B$7,Data!$B$2:$B$1919,$B$9)</f>
        <v>820259</v>
      </c>
      <c r="K29" s="11">
        <f>AVERAGEIFS(Data!$F$2:$F$1919,Data!$C$2:$C$1919,I29,Data!$A$2:$A$1919,$B$7,Data!$B$2:$B$1919,$B$9)</f>
        <v>58675</v>
      </c>
    </row>
    <row r="30" spans="9:11" x14ac:dyDescent="0.3">
      <c r="I30" s="9" t="s">
        <v>29</v>
      </c>
      <c r="J30" s="10">
        <f>SUMIFS(Data!$E$2:$E$1919,Data!$C$2:$C$1919,I30,Data!$A$2:$A$1919,$B$7,Data!$B$2:$B$1919,$B$9)</f>
        <v>130261</v>
      </c>
      <c r="K30" s="11">
        <f>AVERAGEIFS(Data!$F$2:$F$1919,Data!$C$2:$C$1919,I30,Data!$A$2:$A$1919,$B$7,Data!$B$2:$B$1919,$B$9)</f>
        <v>41086</v>
      </c>
    </row>
    <row r="31" spans="9:11" x14ac:dyDescent="0.3">
      <c r="I31" s="9" t="s">
        <v>30</v>
      </c>
      <c r="J31" s="10">
        <f>SUMIFS(Data!$E$2:$E$1919,Data!$C$2:$C$1919,I31,Data!$A$2:$A$1919,$B$7,Data!$B$2:$B$1919,$B$9)</f>
        <v>1366746</v>
      </c>
      <c r="K31" s="11">
        <f>AVERAGEIFS(Data!$F$2:$F$1919,Data!$C$2:$C$1919,I31,Data!$A$2:$A$1919,$B$7,Data!$B$2:$B$1919,$B$9)</f>
        <v>57939</v>
      </c>
    </row>
    <row r="32" spans="9:11" x14ac:dyDescent="0.3">
      <c r="I32" s="9" t="s">
        <v>31</v>
      </c>
      <c r="J32" s="10">
        <f>SUMIFS(Data!$E$2:$E$1919,Data!$C$2:$C$1919,I32,Data!$A$2:$A$1919,$B$7,Data!$B$2:$B$1919,$B$9)</f>
        <v>844765</v>
      </c>
      <c r="K32" s="11">
        <f>AVERAGEIFS(Data!$F$2:$F$1919,Data!$C$2:$C$1919,I32,Data!$A$2:$A$1919,$B$7,Data!$B$2:$B$1919,$B$9)</f>
        <v>47171</v>
      </c>
    </row>
    <row r="33" spans="9:11" x14ac:dyDescent="0.3">
      <c r="I33" s="9" t="s">
        <v>32</v>
      </c>
      <c r="J33" s="10">
        <f>SUMIFS(Data!$E$2:$E$1919,Data!$C$2:$C$1919,I33,Data!$A$2:$A$1919,$B$7,Data!$B$2:$B$1919,$B$9)</f>
        <v>86570</v>
      </c>
      <c r="K33" s="11">
        <f>AVERAGEIFS(Data!$F$2:$F$1919,Data!$C$2:$C$1919,I33,Data!$A$2:$A$1919,$B$7,Data!$B$2:$B$1919,$B$9)</f>
        <v>52657</v>
      </c>
    </row>
    <row r="34" spans="9:11" x14ac:dyDescent="0.3">
      <c r="I34" s="9" t="s">
        <v>33</v>
      </c>
      <c r="J34" s="10">
        <f>SUMIFS(Data!$E$2:$E$1919,Data!$C$2:$C$1919,I34,Data!$A$2:$A$1919,$B$7,Data!$B$2:$B$1919,$B$9)</f>
        <v>998325</v>
      </c>
      <c r="K34" s="11">
        <f>AVERAGEIFS(Data!$F$2:$F$1919,Data!$C$2:$C$1919,I34,Data!$A$2:$A$1919,$B$7,Data!$B$2:$B$1919,$B$9)</f>
        <v>48088</v>
      </c>
    </row>
    <row r="35" spans="9:11" x14ac:dyDescent="0.3">
      <c r="I35" s="9" t="s">
        <v>34</v>
      </c>
      <c r="J35" s="10">
        <f>SUMIFS(Data!$E$2:$E$1919,Data!$C$2:$C$1919,I35,Data!$A$2:$A$1919,$B$7,Data!$B$2:$B$1919,$B$9)</f>
        <v>301828</v>
      </c>
      <c r="K35" s="11">
        <f>AVERAGEIFS(Data!$F$2:$F$1919,Data!$C$2:$C$1919,I35,Data!$A$2:$A$1919,$B$7,Data!$B$2:$B$1919,$B$9)</f>
        <v>43388</v>
      </c>
    </row>
    <row r="36" spans="9:11" x14ac:dyDescent="0.3">
      <c r="I36" s="9" t="s">
        <v>35</v>
      </c>
      <c r="J36" s="10">
        <f>SUMIFS(Data!$E$2:$E$1919,Data!$C$2:$C$1919,I36,Data!$A$2:$A$1919,$B$7,Data!$B$2:$B$1919,$B$9)</f>
        <v>346783</v>
      </c>
      <c r="K36" s="11">
        <f>AVERAGEIFS(Data!$F$2:$F$1919,Data!$C$2:$C$1919,I36,Data!$A$2:$A$1919,$B$7,Data!$B$2:$B$1919,$B$9)</f>
        <v>49251</v>
      </c>
    </row>
    <row r="37" spans="9:11" x14ac:dyDescent="0.3">
      <c r="I37" s="9" t="s">
        <v>36</v>
      </c>
      <c r="J37" s="10">
        <f>SUMIFS(Data!$E$2:$E$1919,Data!$C$2:$C$1919,I37,Data!$A$2:$A$1919,$B$7,Data!$B$2:$B$1919,$B$9)</f>
        <v>1054388</v>
      </c>
      <c r="K37" s="11">
        <f>AVERAGEIFS(Data!$F$2:$F$1919,Data!$C$2:$C$1919,I37,Data!$A$2:$A$1919,$B$7,Data!$B$2:$B$1919,$B$9)</f>
        <v>49535</v>
      </c>
    </row>
    <row r="38" spans="9:11" x14ac:dyDescent="0.3">
      <c r="I38" s="9" t="s">
        <v>37</v>
      </c>
      <c r="J38" s="10">
        <f>SUMIFS(Data!$E$2:$E$1919,Data!$C$2:$C$1919,I38,Data!$A$2:$A$1919,$B$7,Data!$B$2:$B$1919,$B$9)</f>
        <v>70764</v>
      </c>
      <c r="K38" s="11">
        <f>AVERAGEIFS(Data!$F$2:$F$1919,Data!$C$2:$C$1919,I38,Data!$A$2:$A$1919,$B$7,Data!$B$2:$B$1919,$B$9)</f>
        <v>49493</v>
      </c>
    </row>
    <row r="39" spans="9:11" x14ac:dyDescent="0.3">
      <c r="I39" s="9" t="s">
        <v>38</v>
      </c>
      <c r="J39" s="10">
        <f>SUMIFS(Data!$E$2:$E$1919,Data!$C$2:$C$1919,I39,Data!$A$2:$A$1919,$B$7,Data!$B$2:$B$1919,$B$9)</f>
        <v>400537</v>
      </c>
      <c r="K39" s="11">
        <f>AVERAGEIFS(Data!$F$2:$F$1919,Data!$C$2:$C$1919,I39,Data!$A$2:$A$1919,$B$7,Data!$B$2:$B$1919,$B$9)</f>
        <v>43717</v>
      </c>
    </row>
    <row r="40" spans="9:11" x14ac:dyDescent="0.3">
      <c r="I40" s="9" t="s">
        <v>39</v>
      </c>
      <c r="J40" s="10">
        <f>SUMIFS(Data!$E$2:$E$1919,Data!$C$2:$C$1919,I40,Data!$A$2:$A$1919,$B$7,Data!$B$2:$B$1919,$B$9)</f>
        <v>83179</v>
      </c>
      <c r="K40" s="11">
        <f>AVERAGEIFS(Data!$F$2:$F$1919,Data!$C$2:$C$1919,I40,Data!$A$2:$A$1919,$B$7,Data!$B$2:$B$1919,$B$9)</f>
        <v>44162</v>
      </c>
    </row>
    <row r="41" spans="9:11" x14ac:dyDescent="0.3">
      <c r="I41" s="9" t="s">
        <v>40</v>
      </c>
      <c r="J41" s="10">
        <f>SUMIFS(Data!$E$2:$E$1919,Data!$C$2:$C$1919,I41,Data!$A$2:$A$1919,$B$7,Data!$B$2:$B$1919,$B$9)</f>
        <v>627005</v>
      </c>
      <c r="K41" s="11">
        <f>AVERAGEIFS(Data!$F$2:$F$1919,Data!$C$2:$C$1919,I41,Data!$A$2:$A$1919,$B$7,Data!$B$2:$B$1919,$B$9)</f>
        <v>50111</v>
      </c>
    </row>
    <row r="42" spans="9:11" x14ac:dyDescent="0.3">
      <c r="I42" s="9" t="s">
        <v>41</v>
      </c>
      <c r="J42" s="10">
        <f>SUMIFS(Data!$E$2:$E$1919,Data!$C$2:$C$1919,I42,Data!$A$2:$A$1919,$B$7,Data!$B$2:$B$1919,$B$9)</f>
        <v>2453267</v>
      </c>
      <c r="K42" s="11">
        <f>AVERAGEIFS(Data!$F$2:$F$1919,Data!$C$2:$C$1919,I42,Data!$A$2:$A$1919,$B$7,Data!$B$2:$B$1919,$B$9)</f>
        <v>56485</v>
      </c>
    </row>
    <row r="43" spans="9:11" x14ac:dyDescent="0.3">
      <c r="I43" s="9" t="s">
        <v>42</v>
      </c>
      <c r="J43" s="10">
        <f>SUMIFS(Data!$E$2:$E$1919,Data!$C$2:$C$1919,I43,Data!$A$2:$A$1919,$B$7,Data!$B$2:$B$1919,$B$9)</f>
        <v>288623</v>
      </c>
      <c r="K43" s="11">
        <f>AVERAGEIFS(Data!$F$2:$F$1919,Data!$C$2:$C$1919,I43,Data!$A$2:$A$1919,$B$7,Data!$B$2:$B$1919,$B$9)</f>
        <v>49353</v>
      </c>
    </row>
    <row r="44" spans="9:11" x14ac:dyDescent="0.3">
      <c r="I44" s="9" t="s">
        <v>43</v>
      </c>
      <c r="J44" s="10">
        <f>SUMIFS(Data!$E$2:$E$1919,Data!$C$2:$C$1919,I44,Data!$A$2:$A$1919,$B$7,Data!$B$2:$B$1919,$B$9)</f>
        <v>49851</v>
      </c>
      <c r="K44" s="11">
        <f>AVERAGEIFS(Data!$F$2:$F$1919,Data!$C$2:$C$1919,I44,Data!$A$2:$A$1919,$B$7,Data!$B$2:$B$1919,$B$9)</f>
        <v>45701</v>
      </c>
    </row>
    <row r="45" spans="9:11" x14ac:dyDescent="0.3">
      <c r="I45" s="9" t="s">
        <v>44</v>
      </c>
      <c r="J45" s="10">
        <f>SUMIFS(Data!$E$2:$E$1919,Data!$C$2:$C$1919,I45,Data!$A$2:$A$1919,$B$7,Data!$B$2:$B$1919,$B$9)</f>
        <v>627729</v>
      </c>
      <c r="K45" s="11">
        <f>AVERAGEIFS(Data!$F$2:$F$1919,Data!$C$2:$C$1919,I45,Data!$A$2:$A$1919,$B$7,Data!$B$2:$B$1919,$B$9)</f>
        <v>48371</v>
      </c>
    </row>
    <row r="46" spans="9:11" x14ac:dyDescent="0.3">
      <c r="I46" s="9" t="s">
        <v>45</v>
      </c>
      <c r="J46" s="10">
        <f>SUMIFS(Data!$E$2:$E$1919,Data!$C$2:$C$1919,I46,Data!$A$2:$A$1919,$B$7,Data!$B$2:$B$1919,$B$9)</f>
        <v>615415</v>
      </c>
      <c r="K46" s="11">
        <f>AVERAGEIFS(Data!$F$2:$F$1919,Data!$C$2:$C$1919,I46,Data!$A$2:$A$1919,$B$7,Data!$B$2:$B$1919,$B$9)</f>
        <v>74160</v>
      </c>
    </row>
    <row r="47" spans="9:11" x14ac:dyDescent="0.3">
      <c r="I47" s="9" t="s">
        <v>46</v>
      </c>
      <c r="J47" s="10">
        <f>SUMIFS(Data!$E$2:$E$1919,Data!$C$2:$C$1919,I47,Data!$A$2:$A$1919,$B$7,Data!$B$2:$B$1919,$B$9)</f>
        <v>118677</v>
      </c>
      <c r="K47" s="11">
        <f>AVERAGEIFS(Data!$F$2:$F$1919,Data!$C$2:$C$1919,I47,Data!$A$2:$A$1919,$B$7,Data!$B$2:$B$1919,$B$9)</f>
        <v>42085</v>
      </c>
    </row>
    <row r="48" spans="9:11" x14ac:dyDescent="0.3">
      <c r="I48" s="9" t="s">
        <v>47</v>
      </c>
      <c r="J48" s="10">
        <f>SUMIFS(Data!$E$2:$E$1919,Data!$C$2:$C$1919,I48,Data!$A$2:$A$1919,$B$7,Data!$B$2:$B$1919,$B$9)</f>
        <v>517930</v>
      </c>
      <c r="K48" s="11">
        <f>AVERAGEIFS(Data!$F$2:$F$1919,Data!$C$2:$C$1919,I48,Data!$A$2:$A$1919,$B$7,Data!$B$2:$B$1919,$B$9)</f>
        <v>45165</v>
      </c>
    </row>
    <row r="49" spans="9:11" x14ac:dyDescent="0.3">
      <c r="I49" s="12" t="s">
        <v>48</v>
      </c>
      <c r="J49" s="13">
        <f>SUMIFS(Data!$E$2:$E$1919,Data!$C$2:$C$1919,I49,Data!$A$2:$A$1919,$B$7,Data!$B$2:$B$1919,$B$9)</f>
        <v>48509</v>
      </c>
      <c r="K49" s="14">
        <f>AVERAGEIFS(Data!$F$2:$F$1919,Data!$C$2:$C$1919,I49,Data!$A$2:$A$1919,$B$7,Data!$B$2:$B$1919,$B$9)</f>
        <v>44879</v>
      </c>
    </row>
  </sheetData>
  <sortState xmlns:xlrd2="http://schemas.microsoft.com/office/spreadsheetml/2017/richdata2" ref="E2:G11">
    <sortCondition descending="1" ref="G2:G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44B9-0205-4B5E-9E43-462CCE5C94F9}">
  <dimension ref="B3:C3"/>
  <sheetViews>
    <sheetView showGridLines="0" tabSelected="1" workbookViewId="0">
      <selection activeCell="C3" sqref="C3"/>
    </sheetView>
  </sheetViews>
  <sheetFormatPr defaultRowHeight="14.4" x14ac:dyDescent="0.3"/>
  <cols>
    <col min="3" max="3" width="23.33203125" bestFit="1" customWidth="1"/>
  </cols>
  <sheetData>
    <row r="3" spans="2:3" ht="15.6" x14ac:dyDescent="0.3">
      <c r="B3" s="22" t="s">
        <v>68</v>
      </c>
      <c r="C3" s="23" t="s">
        <v>54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4F43AB-D7F2-4619-B725-95B8373F008C}">
          <x14:formula1>
            <xm:f>Prep!$E$2:$E$11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846BC99-A0D0-4E57-BD97-47924ED691DE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2997E09-E5EC-4E01-9067-18E7EE4EF4DE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ED066464-A28E-4D33-9CC7-9CB0D2131901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PC</cp:lastModifiedBy>
  <dcterms:created xsi:type="dcterms:W3CDTF">2021-09-21T20:47:02Z</dcterms:created>
  <dcterms:modified xsi:type="dcterms:W3CDTF">2024-02-13T02:05:21Z</dcterms:modified>
</cp:coreProperties>
</file>